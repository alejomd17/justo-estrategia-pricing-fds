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Ingrid Paz\Downloads\"/>
    </mc:Choice>
  </mc:AlternateContent>
  <xr:revisionPtr revIDLastSave="0" documentId="8_{D7018369-9C45-47B8-8448-B09B2B4F0D84}" xr6:coauthVersionLast="47" xr6:coauthVersionMax="47" xr10:uidLastSave="{00000000-0000-0000-0000-000000000000}"/>
  <bookViews>
    <workbookView xWindow="28680" yWindow="-120" windowWidth="29040" windowHeight="15720" tabRatio="500" activeTab="3" xr2:uid="{00000000-000D-0000-FFFF-FFFF00000000}"/>
  </bookViews>
  <sheets>
    <sheet name="Resumen" sheetId="1" r:id="rId1"/>
    <sheet name="Cervezas" sheetId="2" r:id="rId2"/>
    <sheet name="Limpieza" sheetId="3" r:id="rId3"/>
    <sheet name="GENRAL" sheetId="4" r:id="rId4"/>
  </sheets>
  <definedNames>
    <definedName name="_xlnm._FilterDatabase" localSheetId="3" hidden="1">GENRAL!$A$1:$AU$65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G43" i="3" l="1"/>
  <c r="F43" i="3"/>
  <c r="I42" i="3"/>
  <c r="K42" i="3" s="1"/>
  <c r="I41" i="3"/>
  <c r="K41" i="3" s="1"/>
  <c r="I40" i="3"/>
  <c r="J40" i="3" s="1"/>
  <c r="K39" i="3"/>
  <c r="I39" i="3"/>
  <c r="J39" i="3" s="1"/>
  <c r="I38" i="3"/>
  <c r="M37" i="3"/>
  <c r="N37" i="3" s="1"/>
  <c r="K37" i="3"/>
  <c r="L37" i="3" s="1"/>
  <c r="I37" i="3"/>
  <c r="J37" i="3" s="1"/>
  <c r="K36" i="3"/>
  <c r="J36" i="3"/>
  <c r="I36" i="3"/>
  <c r="I35" i="3"/>
  <c r="J35" i="3" s="1"/>
  <c r="I34" i="3"/>
  <c r="K34" i="3" s="1"/>
  <c r="L34" i="3" s="1"/>
  <c r="I33" i="3"/>
  <c r="J33" i="3" s="1"/>
  <c r="K32" i="3"/>
  <c r="L32" i="3" s="1"/>
  <c r="I32" i="3"/>
  <c r="J32" i="3" s="1"/>
  <c r="I31" i="3"/>
  <c r="K30" i="3"/>
  <c r="I30" i="3"/>
  <c r="J30" i="3" s="1"/>
  <c r="K29" i="3"/>
  <c r="J29" i="3"/>
  <c r="I29" i="3"/>
  <c r="I28" i="3"/>
  <c r="J28" i="3" s="1"/>
  <c r="I27" i="3"/>
  <c r="K27" i="3" s="1"/>
  <c r="K26" i="3"/>
  <c r="I26" i="3"/>
  <c r="J26" i="3" s="1"/>
  <c r="K25" i="3"/>
  <c r="L25" i="3" s="1"/>
  <c r="I25" i="3"/>
  <c r="J25" i="3" s="1"/>
  <c r="I24" i="3"/>
  <c r="I23" i="3"/>
  <c r="J23" i="3" s="1"/>
  <c r="K22" i="3"/>
  <c r="J22" i="3"/>
  <c r="I22" i="3"/>
  <c r="K21" i="3"/>
  <c r="I21" i="3"/>
  <c r="J21" i="3" s="1"/>
  <c r="M20" i="3"/>
  <c r="N20" i="3" s="1"/>
  <c r="I20" i="3"/>
  <c r="K20" i="3" s="1"/>
  <c r="L20" i="3" s="1"/>
  <c r="I19" i="3"/>
  <c r="M18" i="3"/>
  <c r="N18" i="3" s="1"/>
  <c r="K18" i="3"/>
  <c r="L18" i="3" s="1"/>
  <c r="I18" i="3"/>
  <c r="J18" i="3" s="1"/>
  <c r="I17" i="3"/>
  <c r="I16" i="3"/>
  <c r="J16" i="3" s="1"/>
  <c r="K15" i="3"/>
  <c r="J15" i="3"/>
  <c r="I15" i="3"/>
  <c r="I14" i="3"/>
  <c r="J14" i="3" s="1"/>
  <c r="M13" i="3"/>
  <c r="N13" i="3" s="1"/>
  <c r="I13" i="3"/>
  <c r="K13" i="3" s="1"/>
  <c r="L13" i="3" s="1"/>
  <c r="K12" i="3"/>
  <c r="I12" i="3"/>
  <c r="J12" i="3" s="1"/>
  <c r="K11" i="3"/>
  <c r="L11" i="3" s="1"/>
  <c r="I11" i="3"/>
  <c r="J11" i="3" s="1"/>
  <c r="I10" i="3"/>
  <c r="I9" i="3"/>
  <c r="J9" i="3" s="1"/>
  <c r="K8" i="3"/>
  <c r="J8" i="3"/>
  <c r="I8" i="3"/>
  <c r="M7" i="3"/>
  <c r="N7" i="3" s="1"/>
  <c r="K7" i="3"/>
  <c r="L7" i="3" s="1"/>
  <c r="I7" i="3"/>
  <c r="J7" i="3" s="1"/>
  <c r="I6" i="3"/>
  <c r="K6" i="3" s="1"/>
  <c r="L6" i="3" s="1"/>
  <c r="I5" i="3"/>
  <c r="J5" i="3" s="1"/>
  <c r="K4" i="3"/>
  <c r="L4" i="3" s="1"/>
  <c r="I4" i="3"/>
  <c r="J4" i="3" s="1"/>
  <c r="I3" i="3"/>
  <c r="I2" i="3"/>
  <c r="G240" i="2"/>
  <c r="F240" i="2"/>
  <c r="I239" i="2"/>
  <c r="J239" i="2" s="1"/>
  <c r="I238" i="2"/>
  <c r="K238" i="2" s="1"/>
  <c r="L238" i="2" s="1"/>
  <c r="I237" i="2"/>
  <c r="J237" i="2" s="1"/>
  <c r="K236" i="2"/>
  <c r="L236" i="2" s="1"/>
  <c r="I236" i="2"/>
  <c r="J236" i="2" s="1"/>
  <c r="I235" i="2"/>
  <c r="K234" i="2"/>
  <c r="I234" i="2"/>
  <c r="J234" i="2" s="1"/>
  <c r="K233" i="2"/>
  <c r="J233" i="2"/>
  <c r="I233" i="2"/>
  <c r="I232" i="2"/>
  <c r="J232" i="2" s="1"/>
  <c r="I231" i="2"/>
  <c r="K231" i="2" s="1"/>
  <c r="K230" i="2"/>
  <c r="I230" i="2"/>
  <c r="J230" i="2" s="1"/>
  <c r="K229" i="2"/>
  <c r="L229" i="2" s="1"/>
  <c r="I229" i="2"/>
  <c r="J229" i="2" s="1"/>
  <c r="I228" i="2"/>
  <c r="I227" i="2"/>
  <c r="J227" i="2" s="1"/>
  <c r="K226" i="2"/>
  <c r="J226" i="2"/>
  <c r="I226" i="2"/>
  <c r="K225" i="2"/>
  <c r="I225" i="2"/>
  <c r="J225" i="2" s="1"/>
  <c r="M224" i="2"/>
  <c r="N224" i="2" s="1"/>
  <c r="I224" i="2"/>
  <c r="K224" i="2" s="1"/>
  <c r="L224" i="2" s="1"/>
  <c r="I223" i="2"/>
  <c r="M222" i="2"/>
  <c r="N222" i="2" s="1"/>
  <c r="K222" i="2"/>
  <c r="L222" i="2" s="1"/>
  <c r="I222" i="2"/>
  <c r="J222" i="2" s="1"/>
  <c r="I221" i="2"/>
  <c r="I220" i="2"/>
  <c r="J220" i="2" s="1"/>
  <c r="K219" i="2"/>
  <c r="J219" i="2"/>
  <c r="I219" i="2"/>
  <c r="I218" i="2"/>
  <c r="J218" i="2" s="1"/>
  <c r="M217" i="2"/>
  <c r="N217" i="2" s="1"/>
  <c r="I217" i="2"/>
  <c r="K217" i="2" s="1"/>
  <c r="L217" i="2" s="1"/>
  <c r="K216" i="2"/>
  <c r="I216" i="2"/>
  <c r="J216" i="2" s="1"/>
  <c r="K215" i="2"/>
  <c r="L215" i="2" s="1"/>
  <c r="I215" i="2"/>
  <c r="J215" i="2" s="1"/>
  <c r="I214" i="2"/>
  <c r="I213" i="2"/>
  <c r="J213" i="2" s="1"/>
  <c r="K212" i="2"/>
  <c r="J212" i="2"/>
  <c r="I212" i="2"/>
  <c r="M211" i="2"/>
  <c r="N211" i="2" s="1"/>
  <c r="K211" i="2"/>
  <c r="L211" i="2" s="1"/>
  <c r="I211" i="2"/>
  <c r="J211" i="2" s="1"/>
  <c r="I210" i="2"/>
  <c r="K210" i="2" s="1"/>
  <c r="L210" i="2" s="1"/>
  <c r="I209" i="2"/>
  <c r="J209" i="2" s="1"/>
  <c r="K208" i="2"/>
  <c r="L208" i="2" s="1"/>
  <c r="I208" i="2"/>
  <c r="J208" i="2" s="1"/>
  <c r="I207" i="2"/>
  <c r="I206" i="2"/>
  <c r="J206" i="2" s="1"/>
  <c r="K205" i="2"/>
  <c r="J205" i="2"/>
  <c r="I205" i="2"/>
  <c r="I204" i="2"/>
  <c r="J204" i="2" s="1"/>
  <c r="I203" i="2"/>
  <c r="K203" i="2" s="1"/>
  <c r="L203" i="2" s="1"/>
  <c r="I202" i="2"/>
  <c r="M201" i="2"/>
  <c r="N201" i="2" s="1"/>
  <c r="K201" i="2"/>
  <c r="L201" i="2" s="1"/>
  <c r="I201" i="2"/>
  <c r="J201" i="2" s="1"/>
  <c r="I200" i="2"/>
  <c r="M199" i="2"/>
  <c r="N199" i="2" s="1"/>
  <c r="K199" i="2"/>
  <c r="L199" i="2" s="1"/>
  <c r="I199" i="2"/>
  <c r="J199" i="2" s="1"/>
  <c r="K198" i="2"/>
  <c r="J198" i="2"/>
  <c r="I198" i="2"/>
  <c r="I197" i="2"/>
  <c r="J197" i="2" s="1"/>
  <c r="M196" i="2"/>
  <c r="N196" i="2" s="1"/>
  <c r="I196" i="2"/>
  <c r="K196" i="2" s="1"/>
  <c r="L196" i="2" s="1"/>
  <c r="K195" i="2"/>
  <c r="I195" i="2"/>
  <c r="J195" i="2" s="1"/>
  <c r="K194" i="2"/>
  <c r="I194" i="2"/>
  <c r="J194" i="2" s="1"/>
  <c r="I193" i="2"/>
  <c r="I192" i="2"/>
  <c r="J192" i="2" s="1"/>
  <c r="K191" i="2"/>
  <c r="J191" i="2"/>
  <c r="I191" i="2"/>
  <c r="K190" i="2"/>
  <c r="L190" i="2" s="1"/>
  <c r="I190" i="2"/>
  <c r="J190" i="2" s="1"/>
  <c r="I189" i="2"/>
  <c r="K189" i="2" s="1"/>
  <c r="L189" i="2" s="1"/>
  <c r="K188" i="2"/>
  <c r="I188" i="2"/>
  <c r="J188" i="2" s="1"/>
  <c r="M187" i="2"/>
  <c r="N187" i="2" s="1"/>
  <c r="K187" i="2"/>
  <c r="L187" i="2" s="1"/>
  <c r="I187" i="2"/>
  <c r="J187" i="2" s="1"/>
  <c r="I186" i="2"/>
  <c r="I185" i="2"/>
  <c r="J185" i="2" s="1"/>
  <c r="K184" i="2"/>
  <c r="J184" i="2"/>
  <c r="I184" i="2"/>
  <c r="I183" i="2"/>
  <c r="I182" i="2"/>
  <c r="K182" i="2" s="1"/>
  <c r="L182" i="2" s="1"/>
  <c r="I181" i="2"/>
  <c r="J181" i="2" s="1"/>
  <c r="K180" i="2"/>
  <c r="L180" i="2" s="1"/>
  <c r="I180" i="2"/>
  <c r="J180" i="2" s="1"/>
  <c r="I179" i="2"/>
  <c r="I178" i="2"/>
  <c r="J178" i="2" s="1"/>
  <c r="K177" i="2"/>
  <c r="J177" i="2"/>
  <c r="I177" i="2"/>
  <c r="I176" i="2"/>
  <c r="J176" i="2" s="1"/>
  <c r="I175" i="2"/>
  <c r="I174" i="2"/>
  <c r="J174" i="2" s="1"/>
  <c r="M173" i="2"/>
  <c r="N173" i="2" s="1"/>
  <c r="K173" i="2"/>
  <c r="L173" i="2" s="1"/>
  <c r="I173" i="2"/>
  <c r="J173" i="2" s="1"/>
  <c r="I172" i="2"/>
  <c r="I171" i="2"/>
  <c r="J171" i="2" s="1"/>
  <c r="K170" i="2"/>
  <c r="J170" i="2"/>
  <c r="I170" i="2"/>
  <c r="K169" i="2"/>
  <c r="L169" i="2" s="1"/>
  <c r="I169" i="2"/>
  <c r="J169" i="2" s="1"/>
  <c r="I168" i="2"/>
  <c r="I167" i="2"/>
  <c r="J167" i="2" s="1"/>
  <c r="K166" i="2"/>
  <c r="L166" i="2" s="1"/>
  <c r="I166" i="2"/>
  <c r="J166" i="2" s="1"/>
  <c r="I165" i="2"/>
  <c r="K164" i="2"/>
  <c r="L164" i="2" s="1"/>
  <c r="I164" i="2"/>
  <c r="J164" i="2" s="1"/>
  <c r="K163" i="2"/>
  <c r="J163" i="2"/>
  <c r="I163" i="2"/>
  <c r="K162" i="2"/>
  <c r="L162" i="2" s="1"/>
  <c r="I162" i="2"/>
  <c r="J162" i="2" s="1"/>
  <c r="I161" i="2"/>
  <c r="I160" i="2"/>
  <c r="J160" i="2" s="1"/>
  <c r="K159" i="2"/>
  <c r="L159" i="2" s="1"/>
  <c r="I159" i="2"/>
  <c r="J159" i="2" s="1"/>
  <c r="I158" i="2"/>
  <c r="K157" i="2"/>
  <c r="L157" i="2" s="1"/>
  <c r="I157" i="2"/>
  <c r="J157" i="2" s="1"/>
  <c r="K156" i="2"/>
  <c r="J156" i="2"/>
  <c r="I156" i="2"/>
  <c r="I155" i="2"/>
  <c r="I154" i="2"/>
  <c r="I153" i="2"/>
  <c r="K152" i="2"/>
  <c r="L152" i="2" s="1"/>
  <c r="I152" i="2"/>
  <c r="J152" i="2" s="1"/>
  <c r="I151" i="2"/>
  <c r="I150" i="2"/>
  <c r="K149" i="2"/>
  <c r="J149" i="2"/>
  <c r="I149" i="2"/>
  <c r="K148" i="2"/>
  <c r="I148" i="2"/>
  <c r="J148" i="2" s="1"/>
  <c r="I147" i="2"/>
  <c r="I146" i="2"/>
  <c r="J146" i="2" s="1"/>
  <c r="K145" i="2"/>
  <c r="L145" i="2" s="1"/>
  <c r="I145" i="2"/>
  <c r="J145" i="2" s="1"/>
  <c r="I144" i="2"/>
  <c r="K143" i="2"/>
  <c r="I143" i="2"/>
  <c r="J143" i="2" s="1"/>
  <c r="K142" i="2"/>
  <c r="J142" i="2"/>
  <c r="I142" i="2"/>
  <c r="I141" i="2"/>
  <c r="J141" i="2" s="1"/>
  <c r="I140" i="2"/>
  <c r="K139" i="2"/>
  <c r="I139" i="2"/>
  <c r="J139" i="2" s="1"/>
  <c r="K138" i="2"/>
  <c r="I138" i="2"/>
  <c r="J138" i="2" s="1"/>
  <c r="I137" i="2"/>
  <c r="I136" i="2"/>
  <c r="J136" i="2" s="1"/>
  <c r="K135" i="2"/>
  <c r="J135" i="2"/>
  <c r="I135" i="2"/>
  <c r="I134" i="2"/>
  <c r="K133" i="2"/>
  <c r="L133" i="2" s="1"/>
  <c r="I133" i="2"/>
  <c r="J133" i="2" s="1"/>
  <c r="I132" i="2"/>
  <c r="J132" i="2" s="1"/>
  <c r="I131" i="2"/>
  <c r="J131" i="2" s="1"/>
  <c r="I130" i="2"/>
  <c r="I129" i="2"/>
  <c r="J129" i="2" s="1"/>
  <c r="K128" i="2"/>
  <c r="J128" i="2"/>
  <c r="I128" i="2"/>
  <c r="K127" i="2"/>
  <c r="I127" i="2"/>
  <c r="J127" i="2" s="1"/>
  <c r="K126" i="2"/>
  <c r="J126" i="2"/>
  <c r="I126" i="2"/>
  <c r="I125" i="2"/>
  <c r="J125" i="2" s="1"/>
  <c r="I124" i="2"/>
  <c r="K124" i="2" s="1"/>
  <c r="I123" i="2"/>
  <c r="K122" i="2"/>
  <c r="I122" i="2"/>
  <c r="J122" i="2" s="1"/>
  <c r="L121" i="2"/>
  <c r="K121" i="2"/>
  <c r="M121" i="2" s="1"/>
  <c r="N121" i="2" s="1"/>
  <c r="J121" i="2"/>
  <c r="I121" i="2"/>
  <c r="K120" i="2"/>
  <c r="I120" i="2"/>
  <c r="J120" i="2" s="1"/>
  <c r="K119" i="2"/>
  <c r="I119" i="2"/>
  <c r="J119" i="2" s="1"/>
  <c r="I118" i="2"/>
  <c r="K118" i="2" s="1"/>
  <c r="L117" i="2"/>
  <c r="K117" i="2"/>
  <c r="J117" i="2"/>
  <c r="I117" i="2"/>
  <c r="I116" i="2"/>
  <c r="I115" i="2"/>
  <c r="K115" i="2" s="1"/>
  <c r="K114" i="2"/>
  <c r="J114" i="2"/>
  <c r="I114" i="2"/>
  <c r="I113" i="2"/>
  <c r="J113" i="2" s="1"/>
  <c r="I112" i="2"/>
  <c r="I111" i="2"/>
  <c r="K111" i="2" s="1"/>
  <c r="L111" i="2" s="1"/>
  <c r="K110" i="2"/>
  <c r="L110" i="2" s="1"/>
  <c r="M110" i="2" s="1"/>
  <c r="N110" i="2" s="1"/>
  <c r="I110" i="2"/>
  <c r="J110" i="2" s="1"/>
  <c r="I109" i="2"/>
  <c r="K109" i="2" s="1"/>
  <c r="I108" i="2"/>
  <c r="K107" i="2"/>
  <c r="L107" i="2" s="1"/>
  <c r="M107" i="2" s="1"/>
  <c r="N107" i="2" s="1"/>
  <c r="J107" i="2"/>
  <c r="I107" i="2"/>
  <c r="K106" i="2"/>
  <c r="L106" i="2" s="1"/>
  <c r="M106" i="2" s="1"/>
  <c r="N106" i="2" s="1"/>
  <c r="I106" i="2"/>
  <c r="J106" i="2" s="1"/>
  <c r="L105" i="2"/>
  <c r="M105" i="2" s="1"/>
  <c r="N105" i="2" s="1"/>
  <c r="K105" i="2"/>
  <c r="J105" i="2"/>
  <c r="I105" i="2"/>
  <c r="I104" i="2"/>
  <c r="I103" i="2"/>
  <c r="K103" i="2" s="1"/>
  <c r="L103" i="2" s="1"/>
  <c r="M103" i="2" s="1"/>
  <c r="N103" i="2" s="1"/>
  <c r="L102" i="2"/>
  <c r="M102" i="2" s="1"/>
  <c r="N102" i="2" s="1"/>
  <c r="I102" i="2"/>
  <c r="K102" i="2" s="1"/>
  <c r="I101" i="2"/>
  <c r="K101" i="2" s="1"/>
  <c r="K100" i="2"/>
  <c r="J100" i="2"/>
  <c r="I100" i="2"/>
  <c r="I99" i="2"/>
  <c r="J99" i="2" s="1"/>
  <c r="L98" i="2"/>
  <c r="M98" i="2" s="1"/>
  <c r="N98" i="2" s="1"/>
  <c r="K98" i="2"/>
  <c r="J98" i="2"/>
  <c r="I98" i="2"/>
  <c r="L97" i="2"/>
  <c r="K97" i="2"/>
  <c r="J97" i="2"/>
  <c r="I97" i="2"/>
  <c r="I96" i="2"/>
  <c r="M95" i="2"/>
  <c r="N95" i="2" s="1"/>
  <c r="I95" i="2"/>
  <c r="K95" i="2" s="1"/>
  <c r="L95" i="2" s="1"/>
  <c r="K94" i="2"/>
  <c r="L94" i="2" s="1"/>
  <c r="I94" i="2"/>
  <c r="J94" i="2" s="1"/>
  <c r="K93" i="2"/>
  <c r="J93" i="2"/>
  <c r="I93" i="2"/>
  <c r="K92" i="2"/>
  <c r="I92" i="2"/>
  <c r="J92" i="2" s="1"/>
  <c r="I91" i="2"/>
  <c r="K91" i="2" s="1"/>
  <c r="K90" i="2"/>
  <c r="L90" i="2" s="1"/>
  <c r="J90" i="2"/>
  <c r="I90" i="2"/>
  <c r="L89" i="2"/>
  <c r="M89" i="2" s="1"/>
  <c r="N89" i="2" s="1"/>
  <c r="K89" i="2"/>
  <c r="J89" i="2"/>
  <c r="I89" i="2"/>
  <c r="I88" i="2"/>
  <c r="I87" i="2"/>
  <c r="K87" i="2" s="1"/>
  <c r="L87" i="2" s="1"/>
  <c r="L86" i="2"/>
  <c r="M86" i="2" s="1"/>
  <c r="N86" i="2" s="1"/>
  <c r="K86" i="2"/>
  <c r="J86" i="2"/>
  <c r="I86" i="2"/>
  <c r="I85" i="2"/>
  <c r="J85" i="2" s="1"/>
  <c r="K84" i="2"/>
  <c r="I84" i="2"/>
  <c r="J84" i="2" s="1"/>
  <c r="I83" i="2"/>
  <c r="K83" i="2" s="1"/>
  <c r="L82" i="2"/>
  <c r="M82" i="2" s="1"/>
  <c r="N82" i="2" s="1"/>
  <c r="I82" i="2"/>
  <c r="K82" i="2" s="1"/>
  <c r="L81" i="2"/>
  <c r="M81" i="2" s="1"/>
  <c r="N81" i="2" s="1"/>
  <c r="I81" i="2"/>
  <c r="K81" i="2" s="1"/>
  <c r="K80" i="2"/>
  <c r="I80" i="2"/>
  <c r="J80" i="2" s="1"/>
  <c r="K79" i="2"/>
  <c r="J79" i="2"/>
  <c r="I79" i="2"/>
  <c r="I78" i="2"/>
  <c r="I77" i="2"/>
  <c r="L76" i="2"/>
  <c r="K76" i="2"/>
  <c r="J76" i="2"/>
  <c r="I76" i="2"/>
  <c r="L75" i="2"/>
  <c r="K75" i="2"/>
  <c r="J75" i="2"/>
  <c r="I75" i="2"/>
  <c r="L74" i="2"/>
  <c r="M74" i="2" s="1"/>
  <c r="N74" i="2" s="1"/>
  <c r="I74" i="2"/>
  <c r="K74" i="2" s="1"/>
  <c r="I73" i="2"/>
  <c r="M72" i="2"/>
  <c r="N72" i="2" s="1"/>
  <c r="L72" i="2"/>
  <c r="K72" i="2"/>
  <c r="J72" i="2"/>
  <c r="I72" i="2"/>
  <c r="I71" i="2"/>
  <c r="K71" i="2" s="1"/>
  <c r="K70" i="2"/>
  <c r="L70" i="2" s="1"/>
  <c r="M70" i="2" s="1"/>
  <c r="N70" i="2" s="1"/>
  <c r="J70" i="2"/>
  <c r="I70" i="2"/>
  <c r="L69" i="2"/>
  <c r="K69" i="2"/>
  <c r="J69" i="2"/>
  <c r="I69" i="2"/>
  <c r="J68" i="2"/>
  <c r="I68" i="2"/>
  <c r="K68" i="2" s="1"/>
  <c r="I67" i="2"/>
  <c r="I66" i="2"/>
  <c r="K66" i="2" s="1"/>
  <c r="K65" i="2"/>
  <c r="L65" i="2" s="1"/>
  <c r="M65" i="2" s="1"/>
  <c r="N65" i="2" s="1"/>
  <c r="J65" i="2"/>
  <c r="I65" i="2"/>
  <c r="K64" i="2"/>
  <c r="L64" i="2" s="1"/>
  <c r="M64" i="2" s="1"/>
  <c r="N64" i="2" s="1"/>
  <c r="I64" i="2"/>
  <c r="J64" i="2" s="1"/>
  <c r="K63" i="2"/>
  <c r="J63" i="2"/>
  <c r="I63" i="2"/>
  <c r="K62" i="2"/>
  <c r="J62" i="2"/>
  <c r="I62" i="2"/>
  <c r="I61" i="2"/>
  <c r="K61" i="2" s="1"/>
  <c r="L60" i="2"/>
  <c r="M60" i="2" s="1"/>
  <c r="N60" i="2" s="1"/>
  <c r="J60" i="2"/>
  <c r="I60" i="2"/>
  <c r="K60" i="2" s="1"/>
  <c r="K59" i="2"/>
  <c r="L59" i="2" s="1"/>
  <c r="M59" i="2" s="1"/>
  <c r="N59" i="2" s="1"/>
  <c r="I59" i="2"/>
  <c r="J59" i="2" s="1"/>
  <c r="K58" i="2"/>
  <c r="J58" i="2"/>
  <c r="I58" i="2"/>
  <c r="K57" i="2"/>
  <c r="I57" i="2"/>
  <c r="J57" i="2" s="1"/>
  <c r="I56" i="2"/>
  <c r="I55" i="2"/>
  <c r="K55" i="2" s="1"/>
  <c r="L55" i="2" s="1"/>
  <c r="J54" i="2"/>
  <c r="I54" i="2"/>
  <c r="K54" i="2" s="1"/>
  <c r="I53" i="2"/>
  <c r="K53" i="2" s="1"/>
  <c r="K52" i="2"/>
  <c r="I52" i="2"/>
  <c r="J52" i="2" s="1"/>
  <c r="K51" i="2"/>
  <c r="J51" i="2"/>
  <c r="I51" i="2"/>
  <c r="I50" i="2"/>
  <c r="K50" i="2" s="1"/>
  <c r="L50" i="2" s="1"/>
  <c r="I49" i="2"/>
  <c r="K49" i="2" s="1"/>
  <c r="K48" i="2"/>
  <c r="J48" i="2"/>
  <c r="I48" i="2"/>
  <c r="L47" i="2"/>
  <c r="M47" i="2" s="1"/>
  <c r="N47" i="2" s="1"/>
  <c r="K47" i="2"/>
  <c r="J47" i="2"/>
  <c r="I47" i="2"/>
  <c r="I46" i="2"/>
  <c r="M45" i="2"/>
  <c r="N45" i="2" s="1"/>
  <c r="J45" i="2"/>
  <c r="I45" i="2"/>
  <c r="K45" i="2" s="1"/>
  <c r="L45" i="2" s="1"/>
  <c r="K44" i="2"/>
  <c r="L44" i="2" s="1"/>
  <c r="M44" i="2" s="1"/>
  <c r="N44" i="2" s="1"/>
  <c r="J44" i="2"/>
  <c r="I44" i="2"/>
  <c r="K43" i="2"/>
  <c r="L43" i="2" s="1"/>
  <c r="M43" i="2" s="1"/>
  <c r="N43" i="2" s="1"/>
  <c r="J43" i="2"/>
  <c r="I43" i="2"/>
  <c r="K42" i="2"/>
  <c r="L42" i="2" s="1"/>
  <c r="M42" i="2" s="1"/>
  <c r="N42" i="2" s="1"/>
  <c r="I42" i="2"/>
  <c r="J42" i="2" s="1"/>
  <c r="J41" i="2"/>
  <c r="I41" i="2"/>
  <c r="K41" i="2" s="1"/>
  <c r="K40" i="2"/>
  <c r="J40" i="2"/>
  <c r="I40" i="2"/>
  <c r="I39" i="2"/>
  <c r="K39" i="2" s="1"/>
  <c r="K38" i="2"/>
  <c r="J38" i="2"/>
  <c r="I38" i="2"/>
  <c r="K37" i="2"/>
  <c r="L37" i="2" s="1"/>
  <c r="M37" i="2" s="1"/>
  <c r="N37" i="2" s="1"/>
  <c r="J37" i="2"/>
  <c r="I37" i="2"/>
  <c r="I36" i="2"/>
  <c r="J36" i="2" s="1"/>
  <c r="K35" i="2"/>
  <c r="I35" i="2"/>
  <c r="J35" i="2" s="1"/>
  <c r="I34" i="2"/>
  <c r="K34" i="2" s="1"/>
  <c r="I33" i="2"/>
  <c r="N32" i="2"/>
  <c r="L32" i="2"/>
  <c r="M32" i="2" s="1"/>
  <c r="I32" i="2"/>
  <c r="K32" i="2" s="1"/>
  <c r="I31" i="2"/>
  <c r="K31" i="2" s="1"/>
  <c r="K30" i="2"/>
  <c r="J30" i="2"/>
  <c r="I30" i="2"/>
  <c r="I29" i="2"/>
  <c r="I28" i="2"/>
  <c r="K28" i="2" s="1"/>
  <c r="L28" i="2" s="1"/>
  <c r="J27" i="2"/>
  <c r="I27" i="2"/>
  <c r="K27" i="2" s="1"/>
  <c r="K26" i="2"/>
  <c r="J26" i="2"/>
  <c r="I26" i="2"/>
  <c r="L25" i="2"/>
  <c r="M25" i="2" s="1"/>
  <c r="N25" i="2" s="1"/>
  <c r="I25" i="2"/>
  <c r="K25" i="2" s="1"/>
  <c r="I24" i="2"/>
  <c r="M23" i="2"/>
  <c r="N23" i="2" s="1"/>
  <c r="L23" i="2"/>
  <c r="K23" i="2"/>
  <c r="J23" i="2"/>
  <c r="I23" i="2"/>
  <c r="I22" i="2"/>
  <c r="K22" i="2" s="1"/>
  <c r="L21" i="2"/>
  <c r="M21" i="2" s="1"/>
  <c r="N21" i="2" s="1"/>
  <c r="K21" i="2"/>
  <c r="J21" i="2"/>
  <c r="I21" i="2"/>
  <c r="L20" i="2"/>
  <c r="K20" i="2"/>
  <c r="J20" i="2"/>
  <c r="I20" i="2"/>
  <c r="J19" i="2"/>
  <c r="I19" i="2"/>
  <c r="K19" i="2" s="1"/>
  <c r="I18" i="2"/>
  <c r="K18" i="2" s="1"/>
  <c r="I17" i="2"/>
  <c r="K17" i="2" s="1"/>
  <c r="K16" i="2"/>
  <c r="J16" i="2"/>
  <c r="I16" i="2"/>
  <c r="K15" i="2"/>
  <c r="L15" i="2" s="1"/>
  <c r="M15" i="2" s="1"/>
  <c r="N15" i="2" s="1"/>
  <c r="I15" i="2"/>
  <c r="J15" i="2" s="1"/>
  <c r="I14" i="2"/>
  <c r="K14" i="2" s="1"/>
  <c r="K13" i="2"/>
  <c r="I13" i="2"/>
  <c r="J13" i="2" s="1"/>
  <c r="I12" i="2"/>
  <c r="M11" i="2"/>
  <c r="N11" i="2" s="1"/>
  <c r="J11" i="2"/>
  <c r="I11" i="2"/>
  <c r="K11" i="2" s="1"/>
  <c r="L11" i="2" s="1"/>
  <c r="I10" i="2"/>
  <c r="K10" i="2" s="1"/>
  <c r="L9" i="2"/>
  <c r="M9" i="2" s="1"/>
  <c r="N9" i="2" s="1"/>
  <c r="K9" i="2"/>
  <c r="J9" i="2"/>
  <c r="I9" i="2"/>
  <c r="M8" i="2"/>
  <c r="N8" i="2" s="1"/>
  <c r="K8" i="2"/>
  <c r="L8" i="2" s="1"/>
  <c r="I8" i="2"/>
  <c r="J8" i="2" s="1"/>
  <c r="I7" i="2"/>
  <c r="K7" i="2" s="1"/>
  <c r="K6" i="2"/>
  <c r="I6" i="2"/>
  <c r="J6" i="2" s="1"/>
  <c r="I5" i="2"/>
  <c r="I4" i="2"/>
  <c r="K4" i="2" s="1"/>
  <c r="L4" i="2" s="1"/>
  <c r="I3" i="2"/>
  <c r="K3" i="2" s="1"/>
  <c r="K2" i="2"/>
  <c r="L2" i="2" s="1"/>
  <c r="J2" i="2"/>
  <c r="I2" i="2"/>
  <c r="C5" i="1"/>
  <c r="C4" i="1"/>
  <c r="L31" i="2" l="1"/>
  <c r="M31" i="2"/>
  <c r="N31" i="2" s="1"/>
  <c r="L14" i="2"/>
  <c r="M14" i="2" s="1"/>
  <c r="N14" i="2" s="1"/>
  <c r="M7" i="2"/>
  <c r="N7" i="2" s="1"/>
  <c r="L7" i="2"/>
  <c r="M114" i="2"/>
  <c r="N114" i="2" s="1"/>
  <c r="J19" i="3"/>
  <c r="K19" i="3"/>
  <c r="M79" i="2"/>
  <c r="N79" i="2" s="1"/>
  <c r="L79" i="2"/>
  <c r="J104" i="2"/>
  <c r="K104" i="2"/>
  <c r="L109" i="2"/>
  <c r="M109" i="2" s="1"/>
  <c r="N109" i="2" s="1"/>
  <c r="L114" i="2"/>
  <c r="L120" i="2"/>
  <c r="M120" i="2" s="1"/>
  <c r="N120" i="2" s="1"/>
  <c r="K179" i="2"/>
  <c r="J179" i="2"/>
  <c r="M6" i="2"/>
  <c r="N6" i="2" s="1"/>
  <c r="L10" i="2"/>
  <c r="M10" i="2" s="1"/>
  <c r="N10" i="2" s="1"/>
  <c r="M28" i="2"/>
  <c r="N28" i="2" s="1"/>
  <c r="M50" i="2"/>
  <c r="N50" i="2" s="1"/>
  <c r="K85" i="2"/>
  <c r="J109" i="2"/>
  <c r="M164" i="2"/>
  <c r="N164" i="2" s="1"/>
  <c r="J202" i="2"/>
  <c r="K202" i="2"/>
  <c r="L234" i="2"/>
  <c r="M234" i="2"/>
  <c r="N234" i="2" s="1"/>
  <c r="L6" i="2"/>
  <c r="K46" i="2"/>
  <c r="J46" i="2"/>
  <c r="M75" i="2"/>
  <c r="N75" i="2" s="1"/>
  <c r="L115" i="2"/>
  <c r="M115" i="2"/>
  <c r="N115" i="2" s="1"/>
  <c r="J134" i="2"/>
  <c r="K134" i="2"/>
  <c r="M149" i="2"/>
  <c r="N149" i="2" s="1"/>
  <c r="L149" i="2"/>
  <c r="K158" i="2"/>
  <c r="J158" i="2"/>
  <c r="L188" i="2"/>
  <c r="M188" i="2" s="1"/>
  <c r="N188" i="2" s="1"/>
  <c r="M236" i="2"/>
  <c r="N236" i="2" s="1"/>
  <c r="L30" i="3"/>
  <c r="M30" i="3"/>
  <c r="N30" i="3" s="1"/>
  <c r="K38" i="3"/>
  <c r="J38" i="3"/>
  <c r="L27" i="3"/>
  <c r="M27" i="3"/>
  <c r="N27" i="3" s="1"/>
  <c r="J28" i="2"/>
  <c r="K24" i="2"/>
  <c r="J24" i="2"/>
  <c r="M80" i="2"/>
  <c r="N80" i="2" s="1"/>
  <c r="L80" i="2"/>
  <c r="L127" i="2"/>
  <c r="M127" i="2" s="1"/>
  <c r="N127" i="2" s="1"/>
  <c r="J150" i="2"/>
  <c r="K150" i="2"/>
  <c r="L71" i="2"/>
  <c r="M71" i="2" s="1"/>
  <c r="N71" i="2" s="1"/>
  <c r="L38" i="2"/>
  <c r="M38" i="2" s="1"/>
  <c r="N38" i="2" s="1"/>
  <c r="L57" i="2"/>
  <c r="M57" i="2" s="1"/>
  <c r="N57" i="2" s="1"/>
  <c r="K67" i="2"/>
  <c r="J67" i="2"/>
  <c r="K96" i="2"/>
  <c r="J96" i="2"/>
  <c r="L143" i="2"/>
  <c r="M143" i="2"/>
  <c r="N143" i="2" s="1"/>
  <c r="M159" i="2"/>
  <c r="N159" i="2" s="1"/>
  <c r="J12" i="2"/>
  <c r="K12" i="2"/>
  <c r="M30" i="2"/>
  <c r="N30" i="2" s="1"/>
  <c r="L101" i="2"/>
  <c r="M101" i="2"/>
  <c r="N101" i="2" s="1"/>
  <c r="J183" i="2"/>
  <c r="K183" i="2"/>
  <c r="M190" i="2"/>
  <c r="N190" i="2" s="1"/>
  <c r="K213" i="2"/>
  <c r="K140" i="2"/>
  <c r="J140" i="2"/>
  <c r="M55" i="2"/>
  <c r="N55" i="2" s="1"/>
  <c r="K29" i="2"/>
  <c r="J29" i="2"/>
  <c r="L34" i="2"/>
  <c r="M34" i="2" s="1"/>
  <c r="N34" i="2" s="1"/>
  <c r="M66" i="2"/>
  <c r="N66" i="2" s="1"/>
  <c r="L66" i="2"/>
  <c r="M111" i="2"/>
  <c r="N111" i="2" s="1"/>
  <c r="L135" i="2"/>
  <c r="M135" i="2"/>
  <c r="N135" i="2" s="1"/>
  <c r="L16" i="2"/>
  <c r="M16" i="2" s="1"/>
  <c r="N16" i="2" s="1"/>
  <c r="M2" i="2"/>
  <c r="N2" i="2" s="1"/>
  <c r="L30" i="2"/>
  <c r="L35" i="2"/>
  <c r="M35" i="2" s="1"/>
  <c r="N35" i="2" s="1"/>
  <c r="L52" i="2"/>
  <c r="M52" i="2" s="1"/>
  <c r="N52" i="2" s="1"/>
  <c r="M68" i="2"/>
  <c r="N68" i="2" s="1"/>
  <c r="L68" i="2"/>
  <c r="L91" i="2"/>
  <c r="M91" i="2" s="1"/>
  <c r="N91" i="2" s="1"/>
  <c r="J101" i="2"/>
  <c r="M117" i="2"/>
  <c r="N117" i="2" s="1"/>
  <c r="L122" i="2"/>
  <c r="M122" i="2" s="1"/>
  <c r="N122" i="2" s="1"/>
  <c r="J153" i="2"/>
  <c r="K153" i="2"/>
  <c r="K174" i="2"/>
  <c r="L58" i="2"/>
  <c r="M58" i="2"/>
  <c r="N58" i="2" s="1"/>
  <c r="K77" i="2"/>
  <c r="J77" i="2"/>
  <c r="K112" i="2"/>
  <c r="J112" i="2"/>
  <c r="K207" i="2"/>
  <c r="J207" i="2"/>
  <c r="L230" i="2"/>
  <c r="M230" i="2" s="1"/>
  <c r="N230" i="2" s="1"/>
  <c r="L61" i="2"/>
  <c r="M61" i="2" s="1"/>
  <c r="N61" i="2" s="1"/>
  <c r="L231" i="2"/>
  <c r="M231" i="2" s="1"/>
  <c r="N231" i="2" s="1"/>
  <c r="M32" i="3"/>
  <c r="N32" i="3" s="1"/>
  <c r="K5" i="2"/>
  <c r="J5" i="2"/>
  <c r="K36" i="2"/>
  <c r="K9" i="3"/>
  <c r="L225" i="2"/>
  <c r="M225" i="2" s="1"/>
  <c r="N225" i="2" s="1"/>
  <c r="L3" i="2"/>
  <c r="J18" i="2"/>
  <c r="J78" i="2"/>
  <c r="K78" i="2"/>
  <c r="M84" i="2"/>
  <c r="N84" i="2" s="1"/>
  <c r="L84" i="2"/>
  <c r="L148" i="2"/>
  <c r="M148" i="2"/>
  <c r="N148" i="2" s="1"/>
  <c r="L194" i="2"/>
  <c r="M194" i="2" s="1"/>
  <c r="N194" i="2" s="1"/>
  <c r="K33" i="2"/>
  <c r="J33" i="2"/>
  <c r="J50" i="2"/>
  <c r="J56" i="2"/>
  <c r="K56" i="2"/>
  <c r="L21" i="3"/>
  <c r="M21" i="3"/>
  <c r="N21" i="3" s="1"/>
  <c r="J7" i="2"/>
  <c r="M90" i="2"/>
  <c r="N90" i="2" s="1"/>
  <c r="M13" i="2"/>
  <c r="N13" i="2" s="1"/>
  <c r="L17" i="2"/>
  <c r="M17" i="2" s="1"/>
  <c r="N17" i="2" s="1"/>
  <c r="L13" i="2"/>
  <c r="M18" i="2"/>
  <c r="N18" i="2" s="1"/>
  <c r="L18" i="2"/>
  <c r="J31" i="2"/>
  <c r="J53" i="2"/>
  <c r="M63" i="2"/>
  <c r="N63" i="2" s="1"/>
  <c r="L63" i="2"/>
  <c r="M87" i="2"/>
  <c r="N87" i="2" s="1"/>
  <c r="L92" i="2"/>
  <c r="M92" i="2" s="1"/>
  <c r="N92" i="2" s="1"/>
  <c r="L118" i="2"/>
  <c r="M118" i="2" s="1"/>
  <c r="N118" i="2" s="1"/>
  <c r="L138" i="2"/>
  <c r="M138" i="2"/>
  <c r="N138" i="2" s="1"/>
  <c r="J223" i="2"/>
  <c r="K223" i="2"/>
  <c r="J4" i="2"/>
  <c r="M22" i="2"/>
  <c r="N22" i="2" s="1"/>
  <c r="L22" i="2"/>
  <c r="L26" i="2"/>
  <c r="M26" i="2" s="1"/>
  <c r="N26" i="2" s="1"/>
  <c r="L40" i="2"/>
  <c r="M40" i="2" s="1"/>
  <c r="N40" i="2" s="1"/>
  <c r="L53" i="2"/>
  <c r="M53" i="2" s="1"/>
  <c r="N53" i="2" s="1"/>
  <c r="J155" i="2"/>
  <c r="K155" i="2"/>
  <c r="M169" i="2"/>
  <c r="N169" i="2" s="1"/>
  <c r="M4" i="2"/>
  <c r="N4" i="2" s="1"/>
  <c r="J14" i="2"/>
  <c r="M27" i="2"/>
  <c r="N27" i="2" s="1"/>
  <c r="L27" i="2"/>
  <c r="L48" i="2"/>
  <c r="M48" i="2" s="1"/>
  <c r="N48" i="2" s="1"/>
  <c r="L54" i="2"/>
  <c r="M54" i="2" s="1"/>
  <c r="N54" i="2" s="1"/>
  <c r="K73" i="2"/>
  <c r="J73" i="2"/>
  <c r="L83" i="2"/>
  <c r="M83" i="2" s="1"/>
  <c r="N83" i="2" s="1"/>
  <c r="K88" i="2"/>
  <c r="J88" i="2"/>
  <c r="L119" i="2"/>
  <c r="M119" i="2" s="1"/>
  <c r="N119" i="2" s="1"/>
  <c r="L124" i="2"/>
  <c r="M124" i="2" s="1"/>
  <c r="N124" i="2" s="1"/>
  <c r="L19" i="2"/>
  <c r="M19" i="2" s="1"/>
  <c r="N19" i="2" s="1"/>
  <c r="L41" i="2"/>
  <c r="M41" i="2" s="1"/>
  <c r="N41" i="2" s="1"/>
  <c r="L49" i="2"/>
  <c r="M49" i="2" s="1"/>
  <c r="N49" i="2" s="1"/>
  <c r="L93" i="2"/>
  <c r="M93" i="2" s="1"/>
  <c r="N93" i="2" s="1"/>
  <c r="K108" i="2"/>
  <c r="J108" i="2"/>
  <c r="K131" i="2"/>
  <c r="K3" i="3"/>
  <c r="J3" i="3"/>
  <c r="L26" i="3"/>
  <c r="M26" i="3" s="1"/>
  <c r="N26" i="3" s="1"/>
  <c r="M62" i="2"/>
  <c r="N62" i="2" s="1"/>
  <c r="K130" i="2"/>
  <c r="J130" i="2"/>
  <c r="K168" i="2"/>
  <c r="J168" i="2"/>
  <c r="K200" i="2"/>
  <c r="J200" i="2"/>
  <c r="I43" i="3"/>
  <c r="D5" i="1" s="1"/>
  <c r="J2" i="3"/>
  <c r="I240" i="2"/>
  <c r="D4" i="1" s="1"/>
  <c r="J55" i="2"/>
  <c r="L62" i="2"/>
  <c r="J82" i="2"/>
  <c r="J87" i="2"/>
  <c r="J95" i="2"/>
  <c r="L100" i="2"/>
  <c r="M100" i="2" s="1"/>
  <c r="N100" i="2" s="1"/>
  <c r="J103" i="2"/>
  <c r="J111" i="2"/>
  <c r="K123" i="2"/>
  <c r="J123" i="2"/>
  <c r="L126" i="2"/>
  <c r="M126" i="2" s="1"/>
  <c r="N126" i="2" s="1"/>
  <c r="K144" i="2"/>
  <c r="J144" i="2"/>
  <c r="M163" i="2"/>
  <c r="N163" i="2" s="1"/>
  <c r="L163" i="2"/>
  <c r="K178" i="2"/>
  <c r="M189" i="2"/>
  <c r="N189" i="2" s="1"/>
  <c r="K206" i="2"/>
  <c r="K218" i="2"/>
  <c r="M229" i="2"/>
  <c r="N229" i="2" s="1"/>
  <c r="K235" i="2"/>
  <c r="J235" i="2"/>
  <c r="K2" i="3"/>
  <c r="K14" i="3"/>
  <c r="M25" i="3"/>
  <c r="N25" i="3" s="1"/>
  <c r="K31" i="3"/>
  <c r="J31" i="3"/>
  <c r="M139" i="2"/>
  <c r="N139" i="2" s="1"/>
  <c r="L139" i="2"/>
  <c r="K154" i="2"/>
  <c r="J154" i="2"/>
  <c r="M195" i="2"/>
  <c r="N195" i="2" s="1"/>
  <c r="L195" i="2"/>
  <c r="J124" i="2"/>
  <c r="M145" i="2"/>
  <c r="N145" i="2" s="1"/>
  <c r="K160" i="2"/>
  <c r="K175" i="2"/>
  <c r="J175" i="2"/>
  <c r="K185" i="2"/>
  <c r="M208" i="2"/>
  <c r="N208" i="2" s="1"/>
  <c r="K237" i="2"/>
  <c r="M4" i="3"/>
  <c r="N4" i="3" s="1"/>
  <c r="K10" i="3"/>
  <c r="J10" i="3"/>
  <c r="K33" i="3"/>
  <c r="M39" i="3"/>
  <c r="N39" i="3" s="1"/>
  <c r="L39" i="3"/>
  <c r="M219" i="2"/>
  <c r="N219" i="2" s="1"/>
  <c r="M15" i="3"/>
  <c r="N15" i="3" s="1"/>
  <c r="K197" i="2"/>
  <c r="J34" i="2"/>
  <c r="J61" i="2"/>
  <c r="J83" i="2"/>
  <c r="J91" i="2"/>
  <c r="K136" i="2"/>
  <c r="K141" i="2"/>
  <c r="K151" i="2"/>
  <c r="J151" i="2"/>
  <c r="L170" i="2"/>
  <c r="M170" i="2" s="1"/>
  <c r="N170" i="2" s="1"/>
  <c r="M180" i="2"/>
  <c r="N180" i="2" s="1"/>
  <c r="M191" i="2"/>
  <c r="N191" i="2" s="1"/>
  <c r="M203" i="2"/>
  <c r="N203" i="2" s="1"/>
  <c r="K220" i="2"/>
  <c r="K232" i="2"/>
  <c r="K16" i="3"/>
  <c r="K28" i="3"/>
  <c r="K165" i="2"/>
  <c r="J165" i="2"/>
  <c r="J3" i="2"/>
  <c r="J240" i="2" s="1"/>
  <c r="E4" i="1" s="1"/>
  <c r="J10" i="2"/>
  <c r="J17" i="2"/>
  <c r="J22" i="2"/>
  <c r="J39" i="2"/>
  <c r="J49" i="2"/>
  <c r="L51" i="2"/>
  <c r="M51" i="2" s="1"/>
  <c r="N51" i="2" s="1"/>
  <c r="J66" i="2"/>
  <c r="J71" i="2"/>
  <c r="K99" i="2"/>
  <c r="J115" i="2"/>
  <c r="J118" i="2"/>
  <c r="K132" i="2"/>
  <c r="K146" i="2"/>
  <c r="K161" i="2"/>
  <c r="J161" i="2"/>
  <c r="K186" i="2"/>
  <c r="J186" i="2"/>
  <c r="K209" i="2"/>
  <c r="M238" i="2"/>
  <c r="N238" i="2" s="1"/>
  <c r="K5" i="3"/>
  <c r="M22" i="3"/>
  <c r="N22" i="3" s="1"/>
  <c r="M34" i="3"/>
  <c r="N34" i="3" s="1"/>
  <c r="K40" i="3"/>
  <c r="K214" i="2"/>
  <c r="J214" i="2"/>
  <c r="L39" i="2"/>
  <c r="M39" i="2" s="1"/>
  <c r="N39" i="2" s="1"/>
  <c r="L128" i="2"/>
  <c r="M128" i="2" s="1"/>
  <c r="N128" i="2" s="1"/>
  <c r="K137" i="2"/>
  <c r="J137" i="2"/>
  <c r="L156" i="2"/>
  <c r="M156" i="2" s="1"/>
  <c r="N156" i="2" s="1"/>
  <c r="K171" i="2"/>
  <c r="K176" i="2"/>
  <c r="K181" i="2"/>
  <c r="K192" i="2"/>
  <c r="K204" i="2"/>
  <c r="M215" i="2"/>
  <c r="N215" i="2" s="1"/>
  <c r="K221" i="2"/>
  <c r="J221" i="2"/>
  <c r="M11" i="3"/>
  <c r="N11" i="3" s="1"/>
  <c r="K17" i="3"/>
  <c r="J17" i="3"/>
  <c r="L41" i="3"/>
  <c r="M41" i="3"/>
  <c r="N41" i="3" s="1"/>
  <c r="J32" i="2"/>
  <c r="M76" i="2"/>
  <c r="N76" i="2" s="1"/>
  <c r="J81" i="2"/>
  <c r="J102" i="2"/>
  <c r="K125" i="2"/>
  <c r="K147" i="2"/>
  <c r="J147" i="2"/>
  <c r="M166" i="2"/>
  <c r="N166" i="2" s="1"/>
  <c r="M210" i="2"/>
  <c r="N210" i="2" s="1"/>
  <c r="K227" i="2"/>
  <c r="K239" i="2"/>
  <c r="M6" i="3"/>
  <c r="N6" i="3" s="1"/>
  <c r="K23" i="3"/>
  <c r="K35" i="3"/>
  <c r="M42" i="3"/>
  <c r="N42" i="3" s="1"/>
  <c r="L42" i="3"/>
  <c r="L142" i="2"/>
  <c r="M142" i="2" s="1"/>
  <c r="N142" i="2" s="1"/>
  <c r="K172" i="2"/>
  <c r="J172" i="2"/>
  <c r="K193" i="2"/>
  <c r="J193" i="2"/>
  <c r="L216" i="2"/>
  <c r="M216" i="2" s="1"/>
  <c r="N216" i="2" s="1"/>
  <c r="M12" i="3"/>
  <c r="N12" i="3" s="1"/>
  <c r="L12" i="3"/>
  <c r="M29" i="3"/>
  <c r="N29" i="3" s="1"/>
  <c r="M20" i="2"/>
  <c r="N20" i="2" s="1"/>
  <c r="J25" i="2"/>
  <c r="M69" i="2"/>
  <c r="N69" i="2" s="1"/>
  <c r="J74" i="2"/>
  <c r="M94" i="2"/>
  <c r="N94" i="2" s="1"/>
  <c r="M97" i="2"/>
  <c r="N97" i="2" s="1"/>
  <c r="K113" i="2"/>
  <c r="K116" i="2"/>
  <c r="J116" i="2"/>
  <c r="K129" i="2"/>
  <c r="M133" i="2"/>
  <c r="N133" i="2" s="1"/>
  <c r="M152" i="2"/>
  <c r="N152" i="2" s="1"/>
  <c r="M157" i="2"/>
  <c r="N157" i="2" s="1"/>
  <c r="M162" i="2"/>
  <c r="N162" i="2" s="1"/>
  <c r="K167" i="2"/>
  <c r="M182" i="2"/>
  <c r="N182" i="2" s="1"/>
  <c r="K228" i="2"/>
  <c r="J228" i="2"/>
  <c r="K24" i="3"/>
  <c r="J24" i="3"/>
  <c r="J42" i="3"/>
  <c r="L177" i="2"/>
  <c r="M177" i="2" s="1"/>
  <c r="N177" i="2" s="1"/>
  <c r="J182" i="2"/>
  <c r="L184" i="2"/>
  <c r="M184" i="2" s="1"/>
  <c r="N184" i="2" s="1"/>
  <c r="J189" i="2"/>
  <c r="L191" i="2"/>
  <c r="J196" i="2"/>
  <c r="L198" i="2"/>
  <c r="M198" i="2" s="1"/>
  <c r="N198" i="2" s="1"/>
  <c r="J203" i="2"/>
  <c r="L205" i="2"/>
  <c r="M205" i="2" s="1"/>
  <c r="N205" i="2" s="1"/>
  <c r="J210" i="2"/>
  <c r="L212" i="2"/>
  <c r="M212" i="2" s="1"/>
  <c r="N212" i="2" s="1"/>
  <c r="J217" i="2"/>
  <c r="L219" i="2"/>
  <c r="J224" i="2"/>
  <c r="L226" i="2"/>
  <c r="M226" i="2" s="1"/>
  <c r="N226" i="2" s="1"/>
  <c r="J231" i="2"/>
  <c r="L233" i="2"/>
  <c r="M233" i="2" s="1"/>
  <c r="N233" i="2" s="1"/>
  <c r="J238" i="2"/>
  <c r="J6" i="3"/>
  <c r="L8" i="3"/>
  <c r="M8" i="3" s="1"/>
  <c r="N8" i="3" s="1"/>
  <c r="J13" i="3"/>
  <c r="L15" i="3"/>
  <c r="J20" i="3"/>
  <c r="L22" i="3"/>
  <c r="J27" i="3"/>
  <c r="L29" i="3"/>
  <c r="J34" i="3"/>
  <c r="L36" i="3"/>
  <c r="M36" i="3" s="1"/>
  <c r="N36" i="3" s="1"/>
  <c r="J41" i="3"/>
  <c r="L220" i="2" l="1"/>
  <c r="M220" i="2"/>
  <c r="N220" i="2" s="1"/>
  <c r="L108" i="2"/>
  <c r="M108" i="2"/>
  <c r="N108" i="2" s="1"/>
  <c r="L38" i="3"/>
  <c r="M38" i="3" s="1"/>
  <c r="N38" i="3" s="1"/>
  <c r="M19" i="3"/>
  <c r="N19" i="3" s="1"/>
  <c r="L19" i="3"/>
  <c r="L2" i="3"/>
  <c r="M2" i="3"/>
  <c r="N2" i="3" s="1"/>
  <c r="L123" i="2"/>
  <c r="M123" i="2"/>
  <c r="N123" i="2" s="1"/>
  <c r="M200" i="2"/>
  <c r="N200" i="2" s="1"/>
  <c r="L200" i="2"/>
  <c r="L14" i="3"/>
  <c r="M14" i="3"/>
  <c r="N14" i="3" s="1"/>
  <c r="L77" i="2"/>
  <c r="M77" i="2" s="1"/>
  <c r="N77" i="2" s="1"/>
  <c r="L176" i="2"/>
  <c r="M176" i="2"/>
  <c r="N176" i="2" s="1"/>
  <c r="L167" i="2"/>
  <c r="M167" i="2" s="1"/>
  <c r="N167" i="2" s="1"/>
  <c r="L171" i="2"/>
  <c r="M171" i="2"/>
  <c r="N171" i="2" s="1"/>
  <c r="L12" i="2"/>
  <c r="M12" i="2" s="1"/>
  <c r="N12" i="2" s="1"/>
  <c r="L150" i="2"/>
  <c r="M150" i="2" s="1"/>
  <c r="N150" i="2" s="1"/>
  <c r="L5" i="2"/>
  <c r="L240" i="2" s="1"/>
  <c r="F4" i="1" s="1"/>
  <c r="M235" i="2"/>
  <c r="N235" i="2" s="1"/>
  <c r="L235" i="2"/>
  <c r="L168" i="2"/>
  <c r="M168" i="2"/>
  <c r="N168" i="2" s="1"/>
  <c r="L174" i="2"/>
  <c r="M174" i="2" s="1"/>
  <c r="N174" i="2" s="1"/>
  <c r="L29" i="2"/>
  <c r="M29" i="2" s="1"/>
  <c r="N29" i="2" s="1"/>
  <c r="L46" i="2"/>
  <c r="M46" i="2" s="1"/>
  <c r="N46" i="2" s="1"/>
  <c r="L23" i="3"/>
  <c r="M23" i="3" s="1"/>
  <c r="N23" i="3" s="1"/>
  <c r="L33" i="3"/>
  <c r="M33" i="3" s="1"/>
  <c r="N33" i="3" s="1"/>
  <c r="M73" i="2"/>
  <c r="N73" i="2" s="1"/>
  <c r="L73" i="2"/>
  <c r="L78" i="2"/>
  <c r="M78" i="2" s="1"/>
  <c r="N78" i="2" s="1"/>
  <c r="L153" i="2"/>
  <c r="M153" i="2" s="1"/>
  <c r="N153" i="2" s="1"/>
  <c r="L218" i="2"/>
  <c r="M218" i="2"/>
  <c r="N218" i="2" s="1"/>
  <c r="L239" i="2"/>
  <c r="M239" i="2"/>
  <c r="N239" i="2" s="1"/>
  <c r="M137" i="2"/>
  <c r="N137" i="2" s="1"/>
  <c r="L137" i="2"/>
  <c r="L151" i="2"/>
  <c r="M151" i="2" s="1"/>
  <c r="N151" i="2" s="1"/>
  <c r="M10" i="3"/>
  <c r="N10" i="3" s="1"/>
  <c r="L10" i="3"/>
  <c r="L206" i="2"/>
  <c r="M206" i="2"/>
  <c r="N206" i="2" s="1"/>
  <c r="L140" i="2"/>
  <c r="M140" i="2"/>
  <c r="N140" i="2" s="1"/>
  <c r="L192" i="2"/>
  <c r="M192" i="2"/>
  <c r="N192" i="2" s="1"/>
  <c r="L155" i="2"/>
  <c r="M155" i="2"/>
  <c r="N155" i="2" s="1"/>
  <c r="M181" i="2"/>
  <c r="N181" i="2" s="1"/>
  <c r="L181" i="2"/>
  <c r="L5" i="3"/>
  <c r="M5" i="3" s="1"/>
  <c r="N5" i="3" s="1"/>
  <c r="M56" i="2"/>
  <c r="N56" i="2" s="1"/>
  <c r="L56" i="2"/>
  <c r="L213" i="2"/>
  <c r="M213" i="2"/>
  <c r="N213" i="2" s="1"/>
  <c r="L146" i="2"/>
  <c r="M146" i="2" s="1"/>
  <c r="N146" i="2" s="1"/>
  <c r="L136" i="2"/>
  <c r="M136" i="2"/>
  <c r="N136" i="2" s="1"/>
  <c r="L237" i="2"/>
  <c r="M237" i="2" s="1"/>
  <c r="N237" i="2" s="1"/>
  <c r="L178" i="2"/>
  <c r="M178" i="2" s="1"/>
  <c r="N178" i="2" s="1"/>
  <c r="M3" i="2"/>
  <c r="N3" i="2" s="1"/>
  <c r="L96" i="2"/>
  <c r="M96" i="2" s="1"/>
  <c r="N96" i="2" s="1"/>
  <c r="L158" i="2"/>
  <c r="M158" i="2" s="1"/>
  <c r="N158" i="2" s="1"/>
  <c r="L141" i="2"/>
  <c r="M141" i="2"/>
  <c r="N141" i="2" s="1"/>
  <c r="M116" i="2"/>
  <c r="N116" i="2" s="1"/>
  <c r="L116" i="2"/>
  <c r="L132" i="2"/>
  <c r="M132" i="2" s="1"/>
  <c r="N132" i="2" s="1"/>
  <c r="M165" i="2"/>
  <c r="N165" i="2" s="1"/>
  <c r="L165" i="2"/>
  <c r="L223" i="2"/>
  <c r="M223" i="2" s="1"/>
  <c r="N223" i="2" s="1"/>
  <c r="L24" i="2"/>
  <c r="M24" i="2" s="1"/>
  <c r="N24" i="2" s="1"/>
  <c r="L186" i="2"/>
  <c r="M186" i="2" s="1"/>
  <c r="N186" i="2" s="1"/>
  <c r="L130" i="2"/>
  <c r="M130" i="2" s="1"/>
  <c r="N130" i="2" s="1"/>
  <c r="M17" i="3"/>
  <c r="N17" i="3" s="1"/>
  <c r="L17" i="3"/>
  <c r="L161" i="2"/>
  <c r="M161" i="2"/>
  <c r="N161" i="2" s="1"/>
  <c r="L154" i="2"/>
  <c r="M154" i="2" s="1"/>
  <c r="N154" i="2" s="1"/>
  <c r="L28" i="3"/>
  <c r="M28" i="3"/>
  <c r="N28" i="3" s="1"/>
  <c r="L3" i="3"/>
  <c r="M3" i="3" s="1"/>
  <c r="N3" i="3" s="1"/>
  <c r="L207" i="2"/>
  <c r="M207" i="2" s="1"/>
  <c r="N207" i="2" s="1"/>
  <c r="L183" i="2"/>
  <c r="M183" i="2"/>
  <c r="N183" i="2" s="1"/>
  <c r="M67" i="2"/>
  <c r="N67" i="2" s="1"/>
  <c r="L67" i="2"/>
  <c r="L104" i="2"/>
  <c r="M104" i="2" s="1"/>
  <c r="N104" i="2" s="1"/>
  <c r="M228" i="2"/>
  <c r="N228" i="2" s="1"/>
  <c r="L228" i="2"/>
  <c r="L209" i="2"/>
  <c r="M209" i="2" s="1"/>
  <c r="N209" i="2" s="1"/>
  <c r="L179" i="2"/>
  <c r="M179" i="2" s="1"/>
  <c r="N179" i="2" s="1"/>
  <c r="L227" i="2"/>
  <c r="M227" i="2"/>
  <c r="N227" i="2" s="1"/>
  <c r="L113" i="2"/>
  <c r="M113" i="2" s="1"/>
  <c r="N113" i="2" s="1"/>
  <c r="M33" i="2"/>
  <c r="N33" i="2" s="1"/>
  <c r="L33" i="2"/>
  <c r="L134" i="2"/>
  <c r="M134" i="2"/>
  <c r="N134" i="2" s="1"/>
  <c r="M125" i="2"/>
  <c r="N125" i="2" s="1"/>
  <c r="L125" i="2"/>
  <c r="L197" i="2"/>
  <c r="M197" i="2" s="1"/>
  <c r="N197" i="2" s="1"/>
  <c r="M160" i="2"/>
  <c r="N160" i="2" s="1"/>
  <c r="L160" i="2"/>
  <c r="L88" i="2"/>
  <c r="M88" i="2" s="1"/>
  <c r="N88" i="2" s="1"/>
  <c r="L35" i="3"/>
  <c r="M35" i="3"/>
  <c r="N35" i="3" s="1"/>
  <c r="L129" i="2"/>
  <c r="M129" i="2"/>
  <c r="N129" i="2" s="1"/>
  <c r="L202" i="2"/>
  <c r="M202" i="2" s="1"/>
  <c r="N202" i="2" s="1"/>
  <c r="M193" i="2"/>
  <c r="N193" i="2" s="1"/>
  <c r="L193" i="2"/>
  <c r="L221" i="2"/>
  <c r="M221" i="2" s="1"/>
  <c r="N221" i="2" s="1"/>
  <c r="M214" i="2"/>
  <c r="N214" i="2" s="1"/>
  <c r="L214" i="2"/>
  <c r="L185" i="2"/>
  <c r="M185" i="2"/>
  <c r="N185" i="2" s="1"/>
  <c r="L40" i="3"/>
  <c r="M40" i="3" s="1"/>
  <c r="N40" i="3" s="1"/>
  <c r="L16" i="3"/>
  <c r="M16" i="3"/>
  <c r="N16" i="3" s="1"/>
  <c r="L9" i="3"/>
  <c r="M43" i="3" s="1"/>
  <c r="G5" i="1" s="1"/>
  <c r="M24" i="3"/>
  <c r="N24" i="3" s="1"/>
  <c r="L24" i="3"/>
  <c r="L172" i="2"/>
  <c r="M172" i="2"/>
  <c r="N172" i="2" s="1"/>
  <c r="L147" i="2"/>
  <c r="M147" i="2" s="1"/>
  <c r="N147" i="2" s="1"/>
  <c r="L204" i="2"/>
  <c r="M204" i="2"/>
  <c r="N204" i="2" s="1"/>
  <c r="L99" i="2"/>
  <c r="M99" i="2" s="1"/>
  <c r="N99" i="2" s="1"/>
  <c r="L232" i="2"/>
  <c r="M232" i="2"/>
  <c r="N232" i="2" s="1"/>
  <c r="L175" i="2"/>
  <c r="M175" i="2"/>
  <c r="N175" i="2" s="1"/>
  <c r="M31" i="3"/>
  <c r="N31" i="3" s="1"/>
  <c r="L31" i="3"/>
  <c r="L144" i="2"/>
  <c r="M144" i="2"/>
  <c r="N144" i="2" s="1"/>
  <c r="J43" i="3"/>
  <c r="E5" i="1" s="1"/>
  <c r="L131" i="2"/>
  <c r="M131" i="2"/>
  <c r="N131" i="2" s="1"/>
  <c r="L36" i="2"/>
  <c r="M36" i="2" s="1"/>
  <c r="N36" i="2" s="1"/>
  <c r="M112" i="2"/>
  <c r="N112" i="2" s="1"/>
  <c r="L112" i="2"/>
  <c r="L85" i="2"/>
  <c r="M85" i="2" s="1"/>
  <c r="N85" i="2" s="1"/>
  <c r="L43" i="3" l="1"/>
  <c r="F5" i="1" s="1"/>
  <c r="M9" i="3"/>
  <c r="N9" i="3" s="1"/>
  <c r="M5" i="2"/>
  <c r="N5" i="2" s="1"/>
  <c r="M240" i="2"/>
  <c r="G4" i="1" s="1"/>
</calcChain>
</file>

<file path=xl/sharedStrings.xml><?xml version="1.0" encoding="utf-8"?>
<sst xmlns="http://schemas.openxmlformats.org/spreadsheetml/2006/main" count="1389" uniqueCount="381">
  <si>
    <t>Simulación de Promoción 10% OFF</t>
  </si>
  <si>
    <t>Categoría</t>
  </si>
  <si>
    <t>SKUs</t>
  </si>
  <si>
    <t>Precio Justo Total</t>
  </si>
  <si>
    <t>Precio c/Promo Total</t>
  </si>
  <si>
    <t>Descuento Total</t>
  </si>
  <si>
    <t>Utilidad c/Promo</t>
  </si>
  <si>
    <t>Margen Real Prom.</t>
  </si>
  <si>
    <t>Cervezas</t>
  </si>
  <si>
    <t>Limpieza</t>
  </si>
  <si>
    <t>Nota: El descuento se aplica al PRECIO JUSTO (con impuestos). El margen real muestra la rentabilidad efectiva tras el descuento. El descuento (celda azul en cada hoja) es editable para simular otros %.</t>
  </si>
  <si>
    <t>STORE_ID</t>
  </si>
  <si>
    <t>SKU + Nombre</t>
  </si>
  <si>
    <t>COSTO</t>
  </si>
  <si>
    <t>IEPS</t>
  </si>
  <si>
    <t>IVA</t>
  </si>
  <si>
    <t>MARGEN</t>
  </si>
  <si>
    <t>PRECIO JUSTO</t>
  </si>
  <si>
    <t>DESCUENTO</t>
  </si>
  <si>
    <t>PRECIO FINAL C/PROMO</t>
  </si>
  <si>
    <t>MONTO DESCUENTO</t>
  </si>
  <si>
    <t>BASE S/IMP C/PROMO</t>
  </si>
  <si>
    <t>UTILIDAD C/PROMO</t>
  </si>
  <si>
    <t>MARGEN REAL C/PROMO</t>
  </si>
  <si>
    <t>DELTA MARGEN</t>
  </si>
  <si>
    <t>14381 - Ron Antillano Blanco 1L</t>
  </si>
  <si>
    <t>19385 - Whisky William Lawson's Blended 700ml</t>
  </si>
  <si>
    <t>23036 - Ron Bacardí Reserva 8 Años  750ml</t>
  </si>
  <si>
    <t>17770 - Tequila Hornitos Cristalino 750ml</t>
  </si>
  <si>
    <t>30116 - Ron Bacardí Blanco 700ml</t>
  </si>
  <si>
    <t>17774 - Tequila Tres Generaciones Cristalino 750ml</t>
  </si>
  <si>
    <t>18748 - Vino Blanco Izadi Larrosa Blanca 750ml</t>
  </si>
  <si>
    <t>31130 - Licor de Ron Bacardí Mango con Chile 700ml</t>
  </si>
  <si>
    <t>18201 - Brandy Torres Winter Fruits 700ml</t>
  </si>
  <si>
    <t>18166 - Licor Vaccari Sambuca 700ml</t>
  </si>
  <si>
    <t>25906 - Licor de Mezcal Mitre Origen Oaxaca Tamborines 750ml</t>
  </si>
  <si>
    <t>19732 - Vino Blanco Louis Jadot Bourgogne Chardonnay 750ml</t>
  </si>
  <si>
    <t>31119 - Ron Bacardí Spiced 700ml</t>
  </si>
  <si>
    <t>31129 - Licor de Ron Bacardí Frambuesa 700ml</t>
  </si>
  <si>
    <t>31131 - Ginebra Bombay Sapphire London Dry 700ml</t>
  </si>
  <si>
    <t>28839 - Vino Tinto Kirkland Signature Chianti Clásico 750ml</t>
  </si>
  <si>
    <t>12064 - Whisky Passport Scotch 700ml</t>
  </si>
  <si>
    <t>28854 - Vino Rosado Kirkland Signature Prosecco Rosé 750ml</t>
  </si>
  <si>
    <t>11811 - Ron Matusalem Platino 750ml</t>
  </si>
  <si>
    <t>18126 - Vino Tinto Izadi Reserva Rioja 750ml</t>
  </si>
  <si>
    <t>28856 - Ginebra Kirkland Signature Clásico 1.75L</t>
  </si>
  <si>
    <t>28200 - Vino Espumoso Kirkland Signature Prosecco 750ml</t>
  </si>
  <si>
    <t>22261 - Vino Tinto Sangre de Toro 375ml</t>
  </si>
  <si>
    <t>22422 - Cerveza Artesanal Obsidiana Stout 355ml</t>
  </si>
  <si>
    <t>28196 - Vino Tinto Kirkland Signature Columbia Valley 750ml</t>
  </si>
  <si>
    <t>28462 - Vino Tinto Kirkland Signature Malbec 2023 750ml</t>
  </si>
  <si>
    <t>28855 - Vino Blanco Kirkland Signature Sauvignon Blanc 750ml</t>
  </si>
  <si>
    <t>28861 - Whisky Kirkland Signature Blended Scoth 1.74L</t>
  </si>
  <si>
    <t>11158 - Vino Rosado Reservado White Zinfandel 750ml</t>
  </si>
  <si>
    <t>18455 - Ginebra Larios Gin 12 700ml</t>
  </si>
  <si>
    <t>20014 - Aguardiente de Caña Navajas 750ml</t>
  </si>
  <si>
    <t>23615 - Vino Tinto La Maldita Garnacha Rioja 750ml</t>
  </si>
  <si>
    <t>25211 - Vino Tinto Mucho Más Tempranillo y Syrah 750ml</t>
  </si>
  <si>
    <t>25214 - Vino Espumoso Provetto Brut 750ml</t>
  </si>
  <si>
    <t>25215 - Vino Espumoso Provetto Rosado Secco 750ml</t>
  </si>
  <si>
    <t>25836 - Hard Seltzer Palmar Sabores Mixtos Lata 6x355ml</t>
  </si>
  <si>
    <t>13437 - Vino Blanco Don Luis Cetto Viognier 750ml</t>
  </si>
  <si>
    <t>13939 - Cerveza Artesanal Jabalí Salvajita 330ml</t>
  </si>
  <si>
    <t>14180 - Vino Tinto Casa Madero Cabernet Sauvignon 750ml</t>
  </si>
  <si>
    <t>18751 - Vino Tinto Ramón Roqueta Tempranillo 750ml</t>
  </si>
  <si>
    <t>25207 - Vino Blanco Viña Albali Afrutado Semidulce 750ml</t>
  </si>
  <si>
    <t>26914 - Hard Seltzer White Claw sabor Sandía 355ml</t>
  </si>
  <si>
    <t>27539 - Cerveza Lágrimas Negras Imperial Cacao Stout 355ml</t>
  </si>
  <si>
    <t>28197 - Vino Tinto Kirkland Signature Rioja Reserva 750ml</t>
  </si>
  <si>
    <t>11150 - Vino Tinto Cune Crianza 750ml</t>
  </si>
  <si>
    <t>11406 - Ginebra Tanqueray N° Ten 700ml</t>
  </si>
  <si>
    <t>11412 - Ron Appleton State Añejo 750ml</t>
  </si>
  <si>
    <t>11806 - Vino Tinto Federico Paternina Banda Azul Crianza 750ml</t>
  </si>
  <si>
    <t>11813 - Whisky William Lawson's Blended 750ml</t>
  </si>
  <si>
    <t>11825 - Ginebra The London N° 1 700ml</t>
  </si>
  <si>
    <t>11828 - Whisky Glenlivet Founders Reserve 750ml</t>
  </si>
  <si>
    <t>11834 - Vino Tinto L.A. Cetto Cabernet Sauvignon 750ml</t>
  </si>
  <si>
    <t>11835 - Whisky Glenfiddich 12 Años 750ml</t>
  </si>
  <si>
    <t>11836 - Whisky Johnnie Walker Etiqueta Verde 700ml</t>
  </si>
  <si>
    <t>11841 - Vino Tinto L.A. Cetto Nebbiolo 750ml</t>
  </si>
  <si>
    <t>11843 - Vino Rosado L.A. Cetto Blanc de Zinfandel 750ml</t>
  </si>
  <si>
    <t>11844 - Vino Tinto Protos Roble 750ml</t>
  </si>
  <si>
    <t>11852 - Mezcal Unión Joven Espadín y Cirial 700ml</t>
  </si>
  <si>
    <t>11860 - Tequila Herradura Plata 950ml</t>
  </si>
  <si>
    <t>12605 - Tequila Patrón Reposado 750ml</t>
  </si>
  <si>
    <t>12606 - Vino Tinto Monte Xanic Calixa Syrah 750ml</t>
  </si>
  <si>
    <t>12901 - Mezcal Artesanal Ojo de Tigre Joven 750ml</t>
  </si>
  <si>
    <t>12916 - Tequila Jose Cuervo Reserva de la Familia Reposado 750ml</t>
  </si>
  <si>
    <t>13343 - Vino Tinto Finca Las Moras Reserva Malbec 750ml</t>
  </si>
  <si>
    <t>13351 - Vino Tinto Viñas del Vero Luces 2015 750ml</t>
  </si>
  <si>
    <t>13353 - Vino Tinto Luigi Bosca Malbec 2017 750ml</t>
  </si>
  <si>
    <t>13411 - Vino Tinto L.A. Cetto Zinfandel 750ml</t>
  </si>
  <si>
    <t>13419 - Vino Blanco L.A. Cetto Fumé Blanc 750ml</t>
  </si>
  <si>
    <t>13423 - Whisky Johnnie Walker Gold Label Reserve 750ml</t>
  </si>
  <si>
    <t>13432 - Vodka Smirnoff Triple Destilado 750ml</t>
  </si>
  <si>
    <t>13438 - Vino Blanco L.A. Cetto Blanc de Blancs 750ml</t>
  </si>
  <si>
    <t>13528 - Tequila El Jimador Cristalino 700ml</t>
  </si>
  <si>
    <t>13635 - Ron Zacapa Ámbar 12 años 750ml</t>
  </si>
  <si>
    <t>13636 - Vino Tinto Santo Tomás Tempranillo 2016 750ml</t>
  </si>
  <si>
    <t>13755 - Vino Tinto Santo Tomás ST Merlot 750ml</t>
  </si>
  <si>
    <t>13907 - Vino Rosado Santo Tomás ST Grenache 750ml</t>
  </si>
  <si>
    <t>13924 - Vino Tinto Ramón Bilbao Rioja Crianza 750 ml</t>
  </si>
  <si>
    <t>14016 - Vino Blanco Sangre de Toro Clásico 750ml</t>
  </si>
  <si>
    <t>14113 - Vino Tinto Trapiche Roble Cabernet Sauvignon 750ml</t>
  </si>
  <si>
    <t>14178 - Vino Tinto Casa Madero Merlot 750ml</t>
  </si>
  <si>
    <t>14245 - Vino Tinto Kaiken Reserva Malbec 750ml</t>
  </si>
  <si>
    <t>14288 - Vino Tinto Balero Cabernet Sauvignon - Merlot 750ml</t>
  </si>
  <si>
    <t>14378 - Tequila Mayorazgo Reposado 750ml</t>
  </si>
  <si>
    <t>14434 - Vino Tinto Monte Xanic Calixa Blend 750ml</t>
  </si>
  <si>
    <t>14929 - Vino Espumoso Boones Strawberry Hill 750ml</t>
  </si>
  <si>
    <t>15447 - Ginebra Tanqueray Flor de Sevilla 750ml</t>
  </si>
  <si>
    <t>15568 - Tequila Herradura Ultra Añejo 700ml</t>
  </si>
  <si>
    <t>15942 - Ginebra Beefeater Blackberry 700ml</t>
  </si>
  <si>
    <t>15947 - Whisky Johnnie Walker 18 años Blended 750ml</t>
  </si>
  <si>
    <t>15948 - Vodka Skyy 750ml</t>
  </si>
  <si>
    <t>15957 - Vodka Absolut Mango 750ml</t>
  </si>
  <si>
    <t>15958 - Vodka Absolut Pear 750ml</t>
  </si>
  <si>
    <t>16114 - Vino Tinto Gasificado Cuatro Soles Afrutado 700ml</t>
  </si>
  <si>
    <t>16132 - Vino Rosado Diamante Semidulce 750ml</t>
  </si>
  <si>
    <t>16737 - Tequila Mayorazgo Plata 700ml</t>
  </si>
  <si>
    <t>17028 - Vino Tinto Xolo Nebbiolo, Cabernet Sauvignon 750ml</t>
  </si>
  <si>
    <t>17221 - Hard Seltzer Fitzer Mango 4x355ml</t>
  </si>
  <si>
    <t>17569 - Crema de Whisky Baileys sabor Churros El Moro 700ml</t>
  </si>
  <si>
    <t>17613 - Hard Seltzer Mix Topo Chico 6x355ml</t>
  </si>
  <si>
    <t>17614 - Hard Seltzer Topo Chico Fresa Guayaba 6x355ml</t>
  </si>
  <si>
    <t>17615 - Hard Seltzer Topo Chico Piña 6x355ml</t>
  </si>
  <si>
    <t>17616 - Hard Seltzer Topo Chico Lima-Limón 6x355ml</t>
  </si>
  <si>
    <t>17716 - Hard Seltzer Michelob Limón-Pepino 355ml</t>
  </si>
  <si>
    <t>17717 - Hard Seltzer Michelob Mango-Durazno 355ml</t>
  </si>
  <si>
    <t>17735 - Vino Espumoso Chandon Delice 187ml</t>
  </si>
  <si>
    <t>17767 - Mezcal Bruxo BX2 750ml</t>
  </si>
  <si>
    <t>17772 - Tequila Tres Generaciones Blanco 750ml</t>
  </si>
  <si>
    <t>17775 - Tequila Tres Generaciones Añejo 750ml</t>
  </si>
  <si>
    <t>17826 - Vino Tinto Cono Sur Bicicleta Cabernet Sauvignon 750ml</t>
  </si>
  <si>
    <t>18123 - Tequila Herradura Reposado 950ml</t>
  </si>
  <si>
    <t>18125 - Vino Tinto 19 Crimes Sea The Banished Red 750ml</t>
  </si>
  <si>
    <t>18127 - Vino Tinto Georges Duboeuf Beaujolais Villages 750ml</t>
  </si>
  <si>
    <t>18137 - Ron Bacardí Añejo 750ml</t>
  </si>
  <si>
    <t>18138 - Ron Bacardí Solera 1L</t>
  </si>
  <si>
    <t>18139 - Tequila Cazadores Reposado 700ml</t>
  </si>
  <si>
    <t>18140 - Tequila Cazadores Reposado 950ml</t>
  </si>
  <si>
    <t>18144 - Tequila El Jimador Blanco 700ml</t>
  </si>
  <si>
    <t>18154 - Bebida Preparada Jack Daniel’s Ginger Ale 350ml</t>
  </si>
  <si>
    <t>18168 - Whisky The Macallan Malta Pura 12 Años Sherry Oak 700ml</t>
  </si>
  <si>
    <t>18169 - Whisky The Glenrothes Malta Pura 12 Años 700ml</t>
  </si>
  <si>
    <t>18378 - Vino Tinto Nudo Merlot 750ml</t>
  </si>
  <si>
    <t>18379 - Vino Tinto L.A. Cetto Tempranillo 750ml</t>
  </si>
  <si>
    <t>18382 - Vino Rosado Sierra Blanca Zinfandel Rose 750ml</t>
  </si>
  <si>
    <t>18577 - Vino Tinto Cava Quintanilla Reserva Nebbiolo 750ml</t>
  </si>
  <si>
    <t>18579 - Vino Tinto Laberinto Malbec 750ml</t>
  </si>
  <si>
    <t>18745 - Vino Tinto Norte 32 Cabernet Sauvignon 750ml</t>
  </si>
  <si>
    <t>18789 - Vino Tinto Tramuz 750ml</t>
  </si>
  <si>
    <t>18802 - Ron Blanco Bacardí Halloween 750 ml</t>
  </si>
  <si>
    <t>19499 - Vino Tinto La Port de Bordeaux Merlot Cabernet Franc 750ml</t>
  </si>
  <si>
    <t>19715 - Vino Tinto XA Domecq Cabernet Sauvignon 375ml</t>
  </si>
  <si>
    <t>19731 - Vino Blanco Ramón Bilbao lbariño 750ml</t>
  </si>
  <si>
    <t>19742 - Vino Tinto Enate Cabernet Sauvignon Reserva 750ml</t>
  </si>
  <si>
    <t>21856 - Vino Blanco Viña Maipo Blanco Dulce 750ml</t>
  </si>
  <si>
    <t>22335 - Vino Tinto Laus Joven 750ml</t>
  </si>
  <si>
    <t>22336 - Vino Tinto La Rural Trumpeter Malbec 350ml</t>
  </si>
  <si>
    <t>22338 - Vino Tinto Undurraga Cabernet Sauvignon 750ml</t>
  </si>
  <si>
    <t>22364 - Hard Seltzer Topo Chico Margarita Limón 355ml</t>
  </si>
  <si>
    <t>22410 - Mezcal Amarás Espadín Joven + Reposado + Cupreata 200ml</t>
  </si>
  <si>
    <t>22928 - Sangrita Castiza Gourmet 750ml</t>
  </si>
  <si>
    <t>23537 - Ginebra Puerto de Indias Strawberry San Valentín 750ml</t>
  </si>
  <si>
    <t>23600 - Whisky Ballantine's Wild 700ml</t>
  </si>
  <si>
    <t>23759 - Whisky Monkey Shoulder 700ml + Vaso Térmico</t>
  </si>
  <si>
    <t>24217 - Bebida Preparada White Claw Hard Seltzer sabor Mango 335ml</t>
  </si>
  <si>
    <t>24267 - Vino Blanco Vicente Gandia 0,0% Alcohol 750ml</t>
  </si>
  <si>
    <t>24774 - Vino Blanco Federico Paternina Banda Dorada Semidulce 750ml</t>
  </si>
  <si>
    <t>24944 - Bebida Preparada White Claw Hard Seltzer Cereza Negra 335ml</t>
  </si>
  <si>
    <t>24980 - Vino Tinto Santa Rita 120 Merlot 187.5ml</t>
  </si>
  <si>
    <t>25118 - Cerveza Stammgast Trigo 500ml</t>
  </si>
  <si>
    <t>25122 - Cerveza Templarske Lager 500ml</t>
  </si>
  <si>
    <t>25541 - Vino Espumoso Jaume Serra Cava Semi Seco 750ml</t>
  </si>
  <si>
    <t>25542 - Vino Rosado Jaume Serra Cava Brut 750ml</t>
  </si>
  <si>
    <t>25938 - Vino Tinto El Avión de Juguette 750ml</t>
  </si>
  <si>
    <t>25946 - Cerveza Carlsberg Lager 500ml</t>
  </si>
  <si>
    <t>25980 - Vino Tinto Protos 9 Meses 750ml</t>
  </si>
  <si>
    <t>28853 - Sangría Kirkland Signature Clásico 1.5L</t>
  </si>
  <si>
    <t>28878 - Crema Kirkland Signature Irlandesa 1.75L</t>
  </si>
  <si>
    <t>29025 - Vino Rosado Kirkland Signature Prosecco Rosé 750ml</t>
  </si>
  <si>
    <t>30518 - Vino Tinto Viña Albali Tempranillo Selección 750ml</t>
  </si>
  <si>
    <t>30520 - Vino Blanco Viña Albali Verdejo Sauvignon Blanc 750ml</t>
  </si>
  <si>
    <t>30521 - Vino Tinto Viña Albali Cabernet Sauvignon 750ml</t>
  </si>
  <si>
    <t>30524 - Vino Blanco Mucho Más 750ml</t>
  </si>
  <si>
    <t>30525 - Vino Tinto Mucho Más 1.5L</t>
  </si>
  <si>
    <t>30526 - Vino Blanco Analivia Verdejo Selección 750ml</t>
  </si>
  <si>
    <t>30578 - Aperitivo Mionetto Original Italian Recipe 500ml</t>
  </si>
  <si>
    <t>31384 - Mezcal La Santa Abocado con Oro 24k 750ml</t>
  </si>
  <si>
    <t>31387 - Tequila Casa Loy Blanco !00% 750ml</t>
  </si>
  <si>
    <t>31388 - Tequila Casa Loy Reposado Cristlalino 750ml</t>
  </si>
  <si>
    <t>31390 - Tequila La Santa Black Añejo 100% 750ml</t>
  </si>
  <si>
    <t>16219 - Vino Tinto Laus Crianza 750ml</t>
  </si>
  <si>
    <t>17709 - Cerveza Artesanal Rrëy Mexican IPA 355ml</t>
  </si>
  <si>
    <t>14927 - Vino Espumoso Boones Exotic Berry 750ml</t>
  </si>
  <si>
    <t>28195 - Vodka Kirkland Signature Americano 1.75L</t>
  </si>
  <si>
    <t>28789 - Vino Tinto Kirkland Signature Rioja Reserva 2020 750ml</t>
  </si>
  <si>
    <t>28198 - Vino Blanco Kirkland Signature Friuli 750ml</t>
  </si>
  <si>
    <t>28833 - Licor St Germain Flor de Sauco 750ml</t>
  </si>
  <si>
    <t>Filtros aplicados: 
DEPARTMENT es Cervezas, Vinos y Licores
WAREHOUSE_ID es 9
TAG_MARGEN es 30% - 40%
STATUS no es (En blanco)</t>
  </si>
  <si>
    <t>TOTALES / PROMEDIO</t>
  </si>
  <si>
    <t>12315 - Laminitas Raid Doble Acción 16 pzs</t>
  </si>
  <si>
    <t>12593 - Pila D Duracell  2 pzs</t>
  </si>
  <si>
    <t>16157 - Toallitas Desinfectantes Cloralex sin Cloro 48 pzas</t>
  </si>
  <si>
    <t>18367 - Lavatrastes Líquido Kuxtal Biodegradable 820ml</t>
  </si>
  <si>
    <t>14342 - Limpiador Líquido Vidrios Superficies Windex Repuesto 500ml</t>
  </si>
  <si>
    <t>24709 - Limpiador para Baño Mr. Músculo Platinum Repuesto 500ml</t>
  </si>
  <si>
    <t>15579 - Fibra Grande Scotch-Brite 1pza</t>
  </si>
  <si>
    <t>12302 - Pañuelos Desechables Kleenex 3x70 pzs</t>
  </si>
  <si>
    <t>13492 - Insecticida Raid Max Cucarachas e Insectos Rastreros 400ml</t>
  </si>
  <si>
    <t>30515 - Pastillas para Tanque Cloralex Frescura Azul 160g</t>
  </si>
  <si>
    <t>26838 - Escoba Reynera Básica 1 pz</t>
  </si>
  <si>
    <t>27347 - Repuesto Aromatizante Glade Paraíso Azul y Hawaiian 5x21ml</t>
  </si>
  <si>
    <t>22383 - Jerga de Cocina Jüsto 1 pz</t>
  </si>
  <si>
    <t>28157 - Pila Alcalina Energizer Max AAA 6pzs</t>
  </si>
  <si>
    <t>25467 - Refill Limpiador Multiusos Limón Jüsto 1L</t>
  </si>
  <si>
    <t>14801 - Plato Grande Desechable Ecoshell Biodegradable 20 pzs</t>
  </si>
  <si>
    <t>16293 - Fósforos Flama 200x2 pzas</t>
  </si>
  <si>
    <t>16404 - Recogedor con Mango Vileda 3 en 1 1 pza</t>
  </si>
  <si>
    <t>26198 - Insecticida en Aerosol Baygon Insectos Voladores 430ml</t>
  </si>
  <si>
    <t>10870 - Jalador Vileda con Sujeta Paño 1 pz</t>
  </si>
  <si>
    <t>25471 - Refill Desengrasante para Cocina Jüsto 1L</t>
  </si>
  <si>
    <t>30489 - Limpiador para Baño Ajax Anti-Sarro 600ml</t>
  </si>
  <si>
    <t>30514 - Pastillas para Tanque Cloralex Lavanda Eucalipto 80g</t>
  </si>
  <si>
    <t>14345 - Bolsas Reutilizables para Guardar Ziploc Grandes 10 pzs</t>
  </si>
  <si>
    <t>31365 - Plato We Care Compostable Mediano 18pzs</t>
  </si>
  <si>
    <t>16294 - Fósforos Flama 50x10 pzas</t>
  </si>
  <si>
    <t>Filtros aplicados: 
DEPARTMENT es Limpieza y Hogar
WAREHOUSE_ID es 9
TAG_MARGEN es 30% - 40%
TAG_ROTACION es Alta rotacion o Rotacion normal
STATUS no es (En blanco)</t>
  </si>
  <si>
    <t>SKU</t>
  </si>
  <si>
    <t>Nombre</t>
  </si>
  <si>
    <t>Departamento</t>
  </si>
  <si>
    <t>Categoria</t>
  </si>
  <si>
    <t>TAG_MARGEN</t>
  </si>
  <si>
    <t>INDEX PRECIO DCTO</t>
  </si>
  <si>
    <t>PRECIO COMP DCTO</t>
  </si>
  <si>
    <t>PRECIO COMP LINEA</t>
  </si>
  <si>
    <t>INDEX PRECIO LINEA</t>
  </si>
  <si>
    <t>TAG_ROTACION</t>
  </si>
  <si>
    <t>TAG_SHARE</t>
  </si>
  <si>
    <t>TAG ELAS</t>
  </si>
  <si>
    <t>ROTACION_REAL_RATIO</t>
  </si>
  <si>
    <t>DIAS_ENTRE_VENTA_SKU_TIENDA</t>
  </si>
  <si>
    <t>DIAS_ENTRE_VENTA_CATEGORIA_BASELINE</t>
  </si>
  <si>
    <t>FUENTE_BASELINE_CATEGORIA</t>
  </si>
  <si>
    <t>PROMO ACTIVA HOY</t>
  </si>
  <si>
    <t>TEMA_MUNDIAL</t>
  </si>
  <si>
    <t>MOTIVO_SIN_OFERTA</t>
  </si>
  <si>
    <t>REQUIERE_APROBACION</t>
  </si>
  <si>
    <t>REQUIERE_REVISION_PESO_VARIABLE</t>
  </si>
  <si>
    <t>DMAX_REAL_%</t>
  </si>
  <si>
    <t>ESTRATEGIA</t>
  </si>
  <si>
    <t>DIA_EJECUCION</t>
  </si>
  <si>
    <t>PRECIO_OFERTA</t>
  </si>
  <si>
    <t>DESC_EFECTIVO_%</t>
  </si>
  <si>
    <t>MARGEN_OFERTA_%</t>
  </si>
  <si>
    <t>FUENTE_ELASTICIDAD</t>
  </si>
  <si>
    <t>FUENTE_Q0</t>
  </si>
  <si>
    <t>CONFIANZA_PROYECCION</t>
  </si>
  <si>
    <t>REDENCION</t>
  </si>
  <si>
    <t>ELASTICIDAD_FINAL</t>
  </si>
  <si>
    <t>UPLIFT_%</t>
  </si>
  <si>
    <t>Q0_DIA</t>
  </si>
  <si>
    <t>Q1_DIA</t>
  </si>
  <si>
    <t>GMV_BASE_DIA</t>
  </si>
  <si>
    <t>GMV_PROY_DIA</t>
  </si>
  <si>
    <t>GMV_INC_DIA</t>
  </si>
  <si>
    <t>UTIL_BASE_DIA</t>
  </si>
  <si>
    <t>UTIL_PROY_DIA</t>
  </si>
  <si>
    <t>UTIL_INC_DIA</t>
  </si>
  <si>
    <t>Cereal Kellogg's Choco Krispis Original 290g</t>
  </si>
  <si>
    <t>Despensa</t>
  </si>
  <si>
    <t>Cereales y Barras</t>
  </si>
  <si>
    <t>30% - 40%</t>
  </si>
  <si>
    <t>Mas caro</t>
  </si>
  <si>
    <t>Alta rotacion</t>
  </si>
  <si>
    <t>ALTO SHARE</t>
  </si>
  <si>
    <t>POCO ELASTICO</t>
  </si>
  <si>
    <t>Categoria x tienda</t>
  </si>
  <si>
    <t>Sin promocion</t>
  </si>
  <si>
    <t>5x4</t>
  </si>
  <si>
    <t>Domingo</t>
  </si>
  <si>
    <t>SKU real</t>
  </si>
  <si>
    <t>Alta</t>
  </si>
  <si>
    <t>Sopa de Codo #2 La Moderna 200g</t>
  </si>
  <si>
    <t>Sopas, Pastas y Purés</t>
  </si>
  <si>
    <t>Mayor a 40%</t>
  </si>
  <si>
    <t>BAJO SHARE</t>
  </si>
  <si>
    <t>ALTAMENTE ELASTICO</t>
  </si>
  <si>
    <t>Barra de Proteína Wild Protein Chocolate Amargo 225g</t>
  </si>
  <si>
    <t>Parity</t>
  </si>
  <si>
    <t>BNSDP: 2 uds, ahorra $15 c/u</t>
  </si>
  <si>
    <t>Spaghetti La Moderna 200g</t>
  </si>
  <si>
    <t>Mas barato</t>
  </si>
  <si>
    <t>BNSP: 3 x $33</t>
  </si>
  <si>
    <t>Mermelada de Fresa Smucker's Reducida en Azúcar 440g</t>
  </si>
  <si>
    <t>Untables y Miel</t>
  </si>
  <si>
    <t>SPON: 2 uds, -5%</t>
  </si>
  <si>
    <t>Media</t>
  </si>
  <si>
    <t>Sal Rosa del Himalaya White Sea 400g</t>
  </si>
  <si>
    <t>Especias y Condimentos</t>
  </si>
  <si>
    <t>Rotacion normal</t>
  </si>
  <si>
    <t>Yerba Mate Rosamonte 500g</t>
  </si>
  <si>
    <t>Café, Chocolate y Té</t>
  </si>
  <si>
    <t>ELASTICO</t>
  </si>
  <si>
    <t>6x5</t>
  </si>
  <si>
    <t>Sal Rosa del Himalaya White Sea Molida 320g</t>
  </si>
  <si>
    <t>Shampoo Pantene Pro-V Bambú Nutre &amp; Crece 750ml</t>
  </si>
  <si>
    <t>Higiene Personal y Belleza</t>
  </si>
  <si>
    <t>Cuidado del Cabello</t>
  </si>
  <si>
    <t>BNSP: 3 x $31</t>
  </si>
  <si>
    <t>Cereal Kellogg's Extra Arándanos con Almendras 240g</t>
  </si>
  <si>
    <t>SPON: 2 uds, -15%</t>
  </si>
  <si>
    <t>Mermelada de Cuatro Frutas St. Dalfour 284g</t>
  </si>
  <si>
    <t>Agua de Coco A de Coco 100% natural 1L</t>
  </si>
  <si>
    <t>Bebidas</t>
  </si>
  <si>
    <t>Agua</t>
  </si>
  <si>
    <t>Sabado</t>
  </si>
  <si>
    <t>Agua de Coco A de Coco 100% natural 330 ml</t>
  </si>
  <si>
    <t>Agua Natural Bonafont 1L</t>
  </si>
  <si>
    <t>Vinagre de Arroz Satoru 275ml</t>
  </si>
  <si>
    <t>Salsas y Aderezos</t>
  </si>
  <si>
    <t>BNSP: 3 x $115</t>
  </si>
  <si>
    <t>Sabado y Domingo</t>
  </si>
  <si>
    <t>Fritura de Maíz Cazares Clásico con Chile 35g</t>
  </si>
  <si>
    <t>Botanas, Dulces y Galletas</t>
  </si>
  <si>
    <t>Botanas</t>
  </si>
  <si>
    <t>BNSP: 3 x $26</t>
  </si>
  <si>
    <t>Susalitas Susalia Enchiladas 50g</t>
  </si>
  <si>
    <t>BNSP: 3 x $59</t>
  </si>
  <si>
    <t>Palomitas de Maíz Cretors Chicago Mix 737g</t>
  </si>
  <si>
    <t>Refresco Coca Cola Original 3L</t>
  </si>
  <si>
    <t>Refrescos</t>
  </si>
  <si>
    <t>Chips Horneadas Come Verde Jícama Enchilada 60g</t>
  </si>
  <si>
    <t>BNSP: 3 x $101</t>
  </si>
  <si>
    <t>BNSP: 3 x $103</t>
  </si>
  <si>
    <t>Salsa de Soya Kikkoman Reducida en Sodio 148ml</t>
  </si>
  <si>
    <t>SPON: 2 uds, -10%</t>
  </si>
  <si>
    <t>Jabón de Tocador Grisi Neutro 100g</t>
  </si>
  <si>
    <t>Cuidado Corporal</t>
  </si>
  <si>
    <t>Viernes</t>
  </si>
  <si>
    <t>Antitranspirante Dove Original en Aerosol 150ml</t>
  </si>
  <si>
    <t>Acondicionador Cantu Aguacate y Manteca de Karité 400ml</t>
  </si>
  <si>
    <t>Mini Obleas con Cajeta Las Sevillanas sin Azúcar 60g</t>
  </si>
  <si>
    <t>Dulces</t>
  </si>
  <si>
    <t>BNSP: 3 x $108</t>
  </si>
  <si>
    <t>Categoria real</t>
  </si>
  <si>
    <t>Baja</t>
  </si>
  <si>
    <t>Ejote Congelado La Huerta Cortado 500g</t>
  </si>
  <si>
    <t>Congelados</t>
  </si>
  <si>
    <t>Frutas y Verduras Congeladas</t>
  </si>
  <si>
    <t>BNSP: 3 x $141</t>
  </si>
  <si>
    <t>Bebida Boing sabor Mango 237ml</t>
  </si>
  <si>
    <t>Jugos y Bebidas de Fruta</t>
  </si>
  <si>
    <t>BNSP: 3 x $37</t>
  </si>
  <si>
    <t>Chocolate con Almendras Larín sin Azúcar 19g</t>
  </si>
  <si>
    <t>BNSP: 3 x $54</t>
  </si>
  <si>
    <t>Galletas Marbú Dorada 174g</t>
  </si>
  <si>
    <t>Galletas</t>
  </si>
  <si>
    <t>BNSP: 3 x $64</t>
  </si>
  <si>
    <t>Mezcla Juliana Congelada La Huerta 500g</t>
  </si>
  <si>
    <t>BNSP: 3 x $86</t>
  </si>
  <si>
    <t>Suplemento Alimenticio Ensure sabor Fresa 237ml</t>
  </si>
  <si>
    <t>Farmacia y Bienestar</t>
  </si>
  <si>
    <t>Sueros y Suplementos Alimenticios</t>
  </si>
  <si>
    <t>Suplemento Alimenticio Ensure sabor Vainilla 237ml</t>
  </si>
  <si>
    <t>Suplemento Alimenticio Ensure sabor Chocolate 237ml</t>
  </si>
  <si>
    <t>Suplemento Alimenticio Ensure Advance sabor Vainilla 237ml</t>
  </si>
  <si>
    <t>Desodorante Old Spice Fresh en Barra 50g</t>
  </si>
  <si>
    <t>Antitranspirante en Barra Dove Men Care Energy Boost 45g</t>
  </si>
  <si>
    <t>Chocolate Amargo Lindt Excellence 70% Cacao 100g</t>
  </si>
  <si>
    <t>Crema para Peinar Herbal Essences Rizos Definidos 285ml</t>
  </si>
  <si>
    <t>Shampoo Pantene Restauración 700ml</t>
  </si>
  <si>
    <t>Jugo Jumex Único Fresco Verde 960ml</t>
  </si>
  <si>
    <t>BNSP: 3 x $127</t>
  </si>
  <si>
    <t>Crema Corporal St Ives Cacao y Vainilla 532ml</t>
  </si>
  <si>
    <t>Loción Capilar Manzanilla Grisi Gold Extra Aclarante 250ml</t>
  </si>
  <si>
    <t>Protector Labial Eucerin FPS 20 4.8ml</t>
  </si>
  <si>
    <t>Cuidado Facial</t>
  </si>
  <si>
    <t>Acondicionador Herbal Essences Smooth Rose Hips 400ml</t>
  </si>
  <si>
    <t>Crema para Peinar Pantene Rizos Definidos 300ml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</si>
</sst>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\$#,##0.00"/>
    <numFmt numFmtId="165" formatCode="0.0%"/>
    <numFmt numFmtId="166" formatCode="0.00\%"/>
  </numFmts>
  <fonts count="8" x14ac:knownFonts="1">
    <font>
      <sz val="11"/>
      <color theme="1"/>
      <name val="Calibri"/>
      <family val="2"/>
      <charset val="1"/>
    </font>
    <font>
      <b/>
      <sz val="14"/>
      <color rgb="FF1F3864"/>
      <name val="Arial"/>
      <charset val="1"/>
    </font>
    <font>
      <b/>
      <sz val="10"/>
      <color rgb="FFFFFFFF"/>
      <name val="Arial"/>
      <charset val="1"/>
    </font>
    <font>
      <sz val="10"/>
      <color rgb="FF000000"/>
      <name val="Arial"/>
      <charset val="1"/>
    </font>
    <font>
      <i/>
      <sz val="9"/>
      <color rgb="FF808080"/>
      <name val="Arial"/>
      <charset val="1"/>
    </font>
    <font>
      <sz val="10"/>
      <color rgb="FF0000FF"/>
      <name val="Arial"/>
      <charset val="1"/>
    </font>
    <font>
      <b/>
      <sz val="10"/>
      <name val="Arial"/>
      <charset val="1"/>
    </font>
    <font>
      <b/>
      <sz val="10"/>
      <color rgb="FFFFFFFF"/>
      <name val="Arial"/>
    </font>
  </fonts>
  <fills count="8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D9E1F2"/>
        <bgColor rgb="FFD9D9D9"/>
      </patternFill>
    </fill>
    <fill>
      <patternFill patternType="solid">
        <fgColor rgb="FF1F4E79"/>
      </patternFill>
    </fill>
    <fill>
      <patternFill patternType="solid">
        <fgColor rgb="FFE2EFDA"/>
      </patternFill>
    </fill>
    <fill>
      <patternFill patternType="solid">
        <fgColor rgb="FFDDEBF7"/>
      </patternFill>
    </fill>
    <fill>
      <patternFill patternType="solid">
        <fgColor rgb="FFFFF2CC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4" fillId="0" borderId="0" xfId="0" applyFont="1" applyAlignment="1">
      <alignment wrapText="1"/>
    </xf>
    <xf numFmtId="0" fontId="1" fillId="0" borderId="0" xfId="0" applyFont="1"/>
    <xf numFmtId="0" fontId="2" fillId="2" borderId="1" xfId="0" applyFont="1" applyFill="1" applyBorder="1" applyAlignment="1">
      <alignment horizontal="center" wrapText="1"/>
    </xf>
    <xf numFmtId="0" fontId="3" fillId="0" borderId="1" xfId="0" applyFont="1" applyBorder="1"/>
    <xf numFmtId="164" fontId="3" fillId="0" borderId="1" xfId="0" applyNumberFormat="1" applyFont="1" applyBorder="1"/>
    <xf numFmtId="165" fontId="3" fillId="0" borderId="1" xfId="0" applyNumberFormat="1" applyFont="1" applyBorder="1"/>
    <xf numFmtId="0" fontId="2" fillId="2" borderId="1" xfId="0" applyFont="1" applyFill="1" applyBorder="1" applyAlignment="1">
      <alignment horizontal="center" vertical="center" wrapText="1"/>
    </xf>
    <xf numFmtId="166" fontId="3" fillId="0" borderId="1" xfId="0" applyNumberFormat="1" applyFont="1" applyBorder="1"/>
    <xf numFmtId="165" fontId="5" fillId="0" borderId="1" xfId="0" applyNumberFormat="1" applyFont="1" applyBorder="1"/>
    <xf numFmtId="0" fontId="3" fillId="0" borderId="1" xfId="0" applyFont="1" applyBorder="1" applyAlignment="1">
      <alignment wrapText="1"/>
    </xf>
    <xf numFmtId="0" fontId="6" fillId="3" borderId="1" xfId="0" applyFont="1" applyFill="1" applyBorder="1"/>
    <xf numFmtId="166" fontId="6" fillId="3" borderId="1" xfId="0" applyNumberFormat="1" applyFont="1" applyFill="1" applyBorder="1"/>
    <xf numFmtId="164" fontId="6" fillId="3" borderId="1" xfId="0" applyNumberFormat="1" applyFont="1" applyFill="1" applyBorder="1"/>
    <xf numFmtId="165" fontId="6" fillId="3" borderId="1" xfId="0" applyNumberFormat="1" applyFont="1" applyFill="1" applyBorder="1"/>
    <xf numFmtId="0" fontId="7" fillId="4" borderId="0" xfId="0" applyFont="1" applyFill="1" applyAlignment="1">
      <alignment horizontal="center" vertical="center"/>
    </xf>
    <xf numFmtId="0" fontId="0" fillId="5" borderId="0" xfId="0" applyFill="1"/>
    <xf numFmtId="0" fontId="0" fillId="6" borderId="0" xfId="0" applyFill="1"/>
    <xf numFmtId="0" fontId="0" fillId="7" borderId="0" xfId="0" applyFill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D9E1F2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6"/>
  <sheetViews>
    <sheetView zoomScaleNormal="100" workbookViewId="0">
      <selection activeCell="L16" sqref="L16"/>
    </sheetView>
  </sheetViews>
  <sheetFormatPr baseColWidth="10" defaultColWidth="8.6640625" defaultRowHeight="14.4" x14ac:dyDescent="0.3"/>
  <cols>
    <col min="1" max="1" width="16" customWidth="1"/>
    <col min="2" max="2" width="10" customWidth="1"/>
    <col min="3" max="4" width="18" customWidth="1"/>
    <col min="5" max="7" width="16" customWidth="1"/>
  </cols>
  <sheetData>
    <row r="1" spans="1:7" ht="17.399999999999999" x14ac:dyDescent="0.3">
      <c r="A1" s="2" t="s">
        <v>0</v>
      </c>
    </row>
    <row r="3" spans="1:7" ht="27" x14ac:dyDescent="0.3">
      <c r="A3" s="3" t="s">
        <v>1</v>
      </c>
      <c r="B3" s="3" t="s">
        <v>2</v>
      </c>
      <c r="C3" s="3" t="s">
        <v>3</v>
      </c>
      <c r="D3" s="3" t="s">
        <v>4</v>
      </c>
      <c r="E3" s="3" t="s">
        <v>5</v>
      </c>
      <c r="F3" s="3" t="s">
        <v>6</v>
      </c>
      <c r="G3" s="3" t="s">
        <v>7</v>
      </c>
    </row>
    <row r="4" spans="1:7" x14ac:dyDescent="0.3">
      <c r="A4" s="4" t="s">
        <v>8</v>
      </c>
      <c r="B4" s="4">
        <v>238</v>
      </c>
      <c r="C4" s="5">
        <f>Cervezas!G240</f>
        <v>102938.15999999999</v>
      </c>
      <c r="D4" s="5">
        <f>Cervezas!I240</f>
        <v>92644.343999999954</v>
      </c>
      <c r="E4" s="5">
        <f>Cervezas!J240</f>
        <v>10293.816000000003</v>
      </c>
      <c r="F4" s="5">
        <f>Cervezas!L240</f>
        <v>14888.818368583554</v>
      </c>
      <c r="G4" s="6">
        <f>Cervezas!M240</f>
        <v>0.26261343493373446</v>
      </c>
    </row>
    <row r="5" spans="1:7" x14ac:dyDescent="0.3">
      <c r="A5" s="4" t="s">
        <v>9</v>
      </c>
      <c r="B5" s="4">
        <v>41</v>
      </c>
      <c r="C5" s="5">
        <f>Limpieza!G43</f>
        <v>2787.7599999999998</v>
      </c>
      <c r="D5" s="5">
        <f>Limpieza!I43</f>
        <v>2508.9839999999999</v>
      </c>
      <c r="E5" s="5">
        <f>Limpieza!J43</f>
        <v>278.77600000000001</v>
      </c>
      <c r="F5" s="5">
        <f>Limpieza!L43</f>
        <v>559.95427586206915</v>
      </c>
      <c r="G5" s="6">
        <f>Limpieza!M43</f>
        <v>0.25721085523510556</v>
      </c>
    </row>
    <row r="6" spans="1:7" ht="45" customHeight="1" x14ac:dyDescent="0.3">
      <c r="A6" s="1" t="s">
        <v>10</v>
      </c>
      <c r="B6" s="1"/>
      <c r="C6" s="1"/>
      <c r="D6" s="1"/>
      <c r="E6" s="1"/>
      <c r="F6" s="1"/>
      <c r="G6" s="1"/>
    </row>
  </sheetData>
  <mergeCells count="1">
    <mergeCell ref="A6:G6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240"/>
  <sheetViews>
    <sheetView zoomScaleNormal="100" workbookViewId="0">
      <pane ySplit="1" topLeftCell="A220" activePane="bottomLeft" state="frozen"/>
      <selection pane="bottomLeft" activeCell="A238" sqref="A238:XFD238"/>
    </sheetView>
  </sheetViews>
  <sheetFormatPr baseColWidth="10" defaultColWidth="8.6640625" defaultRowHeight="14.4" x14ac:dyDescent="0.3"/>
  <cols>
    <col min="1" max="1" width="10" customWidth="1"/>
    <col min="2" max="2" width="46" customWidth="1"/>
    <col min="3" max="3" width="12" customWidth="1"/>
    <col min="4" max="5" width="8" customWidth="1"/>
    <col min="6" max="6" width="10" customWidth="1"/>
    <col min="7" max="7" width="14" customWidth="1"/>
    <col min="8" max="8" width="11" customWidth="1"/>
    <col min="9" max="9" width="16" customWidth="1"/>
    <col min="10" max="10" width="14" customWidth="1"/>
    <col min="11" max="11" width="15" customWidth="1"/>
    <col min="12" max="12" width="14" customWidth="1"/>
    <col min="13" max="13" width="16" customWidth="1"/>
    <col min="14" max="14" width="14" customWidth="1"/>
  </cols>
  <sheetData>
    <row r="1" spans="1:14" ht="42" customHeight="1" x14ac:dyDescent="0.3">
      <c r="A1" s="7" t="s">
        <v>11</v>
      </c>
      <c r="B1" s="7" t="s">
        <v>12</v>
      </c>
      <c r="C1" s="7" t="s">
        <v>13</v>
      </c>
      <c r="D1" s="7" t="s">
        <v>14</v>
      </c>
      <c r="E1" s="7" t="s">
        <v>15</v>
      </c>
      <c r="F1" s="7" t="s">
        <v>16</v>
      </c>
      <c r="G1" s="7" t="s">
        <v>17</v>
      </c>
      <c r="H1" s="7" t="s">
        <v>18</v>
      </c>
      <c r="I1" s="7" t="s">
        <v>19</v>
      </c>
      <c r="J1" s="7" t="s">
        <v>20</v>
      </c>
      <c r="K1" s="7" t="s">
        <v>21</v>
      </c>
      <c r="L1" s="7" t="s">
        <v>22</v>
      </c>
      <c r="M1" s="7" t="s">
        <v>23</v>
      </c>
      <c r="N1" s="7" t="s">
        <v>24</v>
      </c>
    </row>
    <row r="2" spans="1:14" x14ac:dyDescent="0.3">
      <c r="A2" s="4">
        <v>9</v>
      </c>
      <c r="B2" s="4" t="s">
        <v>25</v>
      </c>
      <c r="C2" s="5">
        <v>46.77</v>
      </c>
      <c r="D2" s="5">
        <v>53</v>
      </c>
      <c r="E2" s="5">
        <v>16</v>
      </c>
      <c r="F2" s="8">
        <v>30</v>
      </c>
      <c r="G2" s="5">
        <v>118.57</v>
      </c>
      <c r="H2" s="9">
        <v>0.1</v>
      </c>
      <c r="I2" s="5">
        <f t="shared" ref="I2:I65" si="0">G2*(1-H2)</f>
        <v>106.71299999999999</v>
      </c>
      <c r="J2" s="5">
        <f t="shared" ref="J2:J65" si="1">G2-I2</f>
        <v>11.856999999999999</v>
      </c>
      <c r="K2" s="5">
        <f t="shared" ref="K2:K65" si="2">I2/((1+D2/100)*(1+E2/100))</f>
        <v>60.12677484787018</v>
      </c>
      <c r="L2" s="5">
        <f t="shared" ref="L2:L65" si="3">K2-C2</f>
        <v>13.356774847870177</v>
      </c>
      <c r="M2" s="6">
        <f t="shared" ref="M2:M65" si="4">IF(K2=0,0,L2/K2)</f>
        <v>0.22214354389811919</v>
      </c>
      <c r="N2" s="6">
        <f t="shared" ref="N2:N65" si="5">M2-F2/100</f>
        <v>-7.78564561018808E-2</v>
      </c>
    </row>
    <row r="3" spans="1:14" x14ac:dyDescent="0.3">
      <c r="A3" s="4">
        <v>9</v>
      </c>
      <c r="B3" s="4" t="s">
        <v>26</v>
      </c>
      <c r="C3" s="5">
        <v>71.37</v>
      </c>
      <c r="D3" s="5">
        <v>53</v>
      </c>
      <c r="E3" s="5">
        <v>16</v>
      </c>
      <c r="F3" s="8">
        <v>30</v>
      </c>
      <c r="G3" s="5">
        <v>180.96</v>
      </c>
      <c r="H3" s="9">
        <v>0.1</v>
      </c>
      <c r="I3" s="5">
        <f t="shared" si="0"/>
        <v>162.864</v>
      </c>
      <c r="J3" s="5">
        <f t="shared" si="1"/>
        <v>18.096000000000004</v>
      </c>
      <c r="K3" s="5">
        <f t="shared" si="2"/>
        <v>91.764705882352942</v>
      </c>
      <c r="L3" s="5">
        <f t="shared" si="3"/>
        <v>20.394705882352937</v>
      </c>
      <c r="M3" s="6">
        <f t="shared" si="4"/>
        <v>0.22224999999999995</v>
      </c>
      <c r="N3" s="6">
        <f t="shared" si="5"/>
        <v>-7.7750000000000041E-2</v>
      </c>
    </row>
    <row r="4" spans="1:14" x14ac:dyDescent="0.3">
      <c r="A4" s="4">
        <v>9</v>
      </c>
      <c r="B4" s="4" t="s">
        <v>27</v>
      </c>
      <c r="C4" s="5">
        <v>250.73</v>
      </c>
      <c r="D4" s="5">
        <v>53</v>
      </c>
      <c r="E4" s="5">
        <v>16</v>
      </c>
      <c r="F4" s="8">
        <v>30</v>
      </c>
      <c r="G4" s="5">
        <v>635.72</v>
      </c>
      <c r="H4" s="9">
        <v>0.1</v>
      </c>
      <c r="I4" s="5">
        <f t="shared" si="0"/>
        <v>572.14800000000002</v>
      </c>
      <c r="J4" s="5">
        <f t="shared" si="1"/>
        <v>63.572000000000003</v>
      </c>
      <c r="K4" s="5">
        <f t="shared" si="2"/>
        <v>322.37322515212986</v>
      </c>
      <c r="L4" s="5">
        <f t="shared" si="3"/>
        <v>71.643225152129872</v>
      </c>
      <c r="M4" s="6">
        <f t="shared" si="4"/>
        <v>0.22223689674699568</v>
      </c>
      <c r="N4" s="6">
        <f t="shared" si="5"/>
        <v>-7.7763103253004312E-2</v>
      </c>
    </row>
    <row r="5" spans="1:14" x14ac:dyDescent="0.3">
      <c r="A5" s="4">
        <v>9</v>
      </c>
      <c r="B5" s="4" t="s">
        <v>28</v>
      </c>
      <c r="C5" s="5">
        <v>242.96</v>
      </c>
      <c r="D5" s="5">
        <v>53</v>
      </c>
      <c r="E5" s="5">
        <v>16</v>
      </c>
      <c r="F5" s="8">
        <v>35.03</v>
      </c>
      <c r="G5" s="5">
        <v>663.7</v>
      </c>
      <c r="H5" s="9">
        <v>0.1</v>
      </c>
      <c r="I5" s="5">
        <f t="shared" si="0"/>
        <v>597.33000000000004</v>
      </c>
      <c r="J5" s="5">
        <f t="shared" si="1"/>
        <v>66.37</v>
      </c>
      <c r="K5" s="5">
        <f t="shared" si="2"/>
        <v>336.56186612576067</v>
      </c>
      <c r="L5" s="5">
        <f t="shared" si="3"/>
        <v>93.601866125760665</v>
      </c>
      <c r="M5" s="6">
        <f t="shared" si="4"/>
        <v>0.27811191803525692</v>
      </c>
      <c r="N5" s="6">
        <f t="shared" si="5"/>
        <v>-7.2188081964743078E-2</v>
      </c>
    </row>
    <row r="6" spans="1:14" x14ac:dyDescent="0.3">
      <c r="A6" s="4">
        <v>9</v>
      </c>
      <c r="B6" s="4" t="s">
        <v>29</v>
      </c>
      <c r="C6" s="5">
        <v>98.6</v>
      </c>
      <c r="D6" s="5">
        <v>53</v>
      </c>
      <c r="E6" s="5">
        <v>16</v>
      </c>
      <c r="F6" s="8">
        <v>33.090000000000003</v>
      </c>
      <c r="G6" s="5">
        <v>261.52999999999997</v>
      </c>
      <c r="H6" s="9">
        <v>0.1</v>
      </c>
      <c r="I6" s="5">
        <f t="shared" si="0"/>
        <v>235.37699999999998</v>
      </c>
      <c r="J6" s="5">
        <f t="shared" si="1"/>
        <v>26.152999999999992</v>
      </c>
      <c r="K6" s="5">
        <f t="shared" si="2"/>
        <v>132.62170385395538</v>
      </c>
      <c r="L6" s="5">
        <f t="shared" si="3"/>
        <v>34.021703853955387</v>
      </c>
      <c r="M6" s="6">
        <f t="shared" si="4"/>
        <v>0.25653194662180256</v>
      </c>
      <c r="N6" s="6">
        <f t="shared" si="5"/>
        <v>-7.4368053378197463E-2</v>
      </c>
    </row>
    <row r="7" spans="1:14" x14ac:dyDescent="0.3">
      <c r="A7" s="4">
        <v>9</v>
      </c>
      <c r="B7" s="4" t="s">
        <v>30</v>
      </c>
      <c r="C7" s="5">
        <v>405.23</v>
      </c>
      <c r="D7" s="5">
        <v>53</v>
      </c>
      <c r="E7" s="5">
        <v>16</v>
      </c>
      <c r="F7" s="8">
        <v>30</v>
      </c>
      <c r="G7" s="5">
        <v>1027.43</v>
      </c>
      <c r="H7" s="9">
        <v>0.1</v>
      </c>
      <c r="I7" s="5">
        <f t="shared" si="0"/>
        <v>924.68700000000013</v>
      </c>
      <c r="J7" s="5">
        <f t="shared" si="1"/>
        <v>102.74299999999994</v>
      </c>
      <c r="K7" s="5">
        <f t="shared" si="2"/>
        <v>521.00912778904672</v>
      </c>
      <c r="L7" s="5">
        <f t="shared" si="3"/>
        <v>115.7791277890467</v>
      </c>
      <c r="M7" s="6">
        <f t="shared" si="4"/>
        <v>0.22222092016001097</v>
      </c>
      <c r="N7" s="6">
        <f t="shared" si="5"/>
        <v>-7.7779079839989024E-2</v>
      </c>
    </row>
    <row r="8" spans="1:14" x14ac:dyDescent="0.3">
      <c r="A8" s="4">
        <v>9</v>
      </c>
      <c r="B8" s="4" t="s">
        <v>31</v>
      </c>
      <c r="C8" s="5">
        <v>183.73</v>
      </c>
      <c r="D8" s="5">
        <v>27</v>
      </c>
      <c r="E8" s="5">
        <v>16</v>
      </c>
      <c r="F8" s="8">
        <v>33.25</v>
      </c>
      <c r="G8" s="5">
        <v>405.5</v>
      </c>
      <c r="H8" s="9">
        <v>0.1</v>
      </c>
      <c r="I8" s="5">
        <f t="shared" si="0"/>
        <v>364.95</v>
      </c>
      <c r="J8" s="5">
        <f t="shared" si="1"/>
        <v>40.550000000000011</v>
      </c>
      <c r="K8" s="5">
        <f t="shared" si="2"/>
        <v>247.72603855552541</v>
      </c>
      <c r="L8" s="5">
        <f t="shared" si="3"/>
        <v>63.996038555525416</v>
      </c>
      <c r="M8" s="6">
        <f t="shared" si="4"/>
        <v>0.25833391971502956</v>
      </c>
      <c r="N8" s="6">
        <f t="shared" si="5"/>
        <v>-7.4166080284970459E-2</v>
      </c>
    </row>
    <row r="9" spans="1:14" x14ac:dyDescent="0.3">
      <c r="A9" s="4">
        <v>9</v>
      </c>
      <c r="B9" s="4" t="s">
        <v>32</v>
      </c>
      <c r="C9" s="5">
        <v>91.84</v>
      </c>
      <c r="D9" s="5">
        <v>53</v>
      </c>
      <c r="E9" s="5">
        <v>16</v>
      </c>
      <c r="F9" s="8">
        <v>30</v>
      </c>
      <c r="G9" s="5">
        <v>232.85</v>
      </c>
      <c r="H9" s="9">
        <v>0.1</v>
      </c>
      <c r="I9" s="5">
        <f t="shared" si="0"/>
        <v>209.565</v>
      </c>
      <c r="J9" s="5">
        <f t="shared" si="1"/>
        <v>23.284999999999997</v>
      </c>
      <c r="K9" s="5">
        <f t="shared" si="2"/>
        <v>118.07809330628804</v>
      </c>
      <c r="L9" s="5">
        <f t="shared" si="3"/>
        <v>26.238093306288036</v>
      </c>
      <c r="M9" s="6">
        <f t="shared" si="4"/>
        <v>0.22220966287309429</v>
      </c>
      <c r="N9" s="6">
        <f t="shared" si="5"/>
        <v>-7.7790337126905695E-2</v>
      </c>
    </row>
    <row r="10" spans="1:14" x14ac:dyDescent="0.3">
      <c r="A10" s="4">
        <v>9</v>
      </c>
      <c r="B10" s="4" t="s">
        <v>33</v>
      </c>
      <c r="C10" s="5">
        <v>127</v>
      </c>
      <c r="D10" s="5">
        <v>53</v>
      </c>
      <c r="E10" s="5">
        <v>16</v>
      </c>
      <c r="F10" s="8">
        <v>38.68</v>
      </c>
      <c r="G10" s="5">
        <v>367.58</v>
      </c>
      <c r="H10" s="9">
        <v>0.1</v>
      </c>
      <c r="I10" s="5">
        <f t="shared" si="0"/>
        <v>330.822</v>
      </c>
      <c r="J10" s="5">
        <f t="shared" si="1"/>
        <v>36.757999999999981</v>
      </c>
      <c r="K10" s="5">
        <f t="shared" si="2"/>
        <v>186.39959432048681</v>
      </c>
      <c r="L10" s="5">
        <f t="shared" si="3"/>
        <v>59.399594320486813</v>
      </c>
      <c r="M10" s="6">
        <f t="shared" si="4"/>
        <v>0.31866804505141738</v>
      </c>
      <c r="N10" s="6">
        <f t="shared" si="5"/>
        <v>-6.8131954948582596E-2</v>
      </c>
    </row>
    <row r="11" spans="1:14" x14ac:dyDescent="0.3">
      <c r="A11" s="4">
        <v>9</v>
      </c>
      <c r="B11" s="4" t="s">
        <v>34</v>
      </c>
      <c r="C11" s="5">
        <v>159.63999999999999</v>
      </c>
      <c r="D11" s="5">
        <v>53</v>
      </c>
      <c r="E11" s="5">
        <v>16</v>
      </c>
      <c r="F11" s="8">
        <v>39.22</v>
      </c>
      <c r="G11" s="5">
        <v>466.15</v>
      </c>
      <c r="H11" s="9">
        <v>0.1</v>
      </c>
      <c r="I11" s="5">
        <f t="shared" si="0"/>
        <v>419.53499999999997</v>
      </c>
      <c r="J11" s="5">
        <f t="shared" si="1"/>
        <v>46.615000000000009</v>
      </c>
      <c r="K11" s="5">
        <f t="shared" si="2"/>
        <v>236.38438133874237</v>
      </c>
      <c r="L11" s="5">
        <f t="shared" si="3"/>
        <v>76.744381338742386</v>
      </c>
      <c r="M11" s="6">
        <f t="shared" si="4"/>
        <v>0.32465927276627693</v>
      </c>
      <c r="N11" s="6">
        <f t="shared" si="5"/>
        <v>-6.7540727233723064E-2</v>
      </c>
    </row>
    <row r="12" spans="1:14" x14ac:dyDescent="0.3">
      <c r="A12" s="4">
        <v>9</v>
      </c>
      <c r="B12" s="4" t="s">
        <v>35</v>
      </c>
      <c r="C12" s="5">
        <v>134.80000000000001</v>
      </c>
      <c r="D12" s="5">
        <v>53</v>
      </c>
      <c r="E12" s="5">
        <v>16</v>
      </c>
      <c r="F12" s="8">
        <v>36.78</v>
      </c>
      <c r="G12" s="5">
        <v>378.42</v>
      </c>
      <c r="H12" s="9">
        <v>0.1</v>
      </c>
      <c r="I12" s="5">
        <f t="shared" si="0"/>
        <v>340.57800000000003</v>
      </c>
      <c r="J12" s="5">
        <f t="shared" si="1"/>
        <v>37.841999999999985</v>
      </c>
      <c r="K12" s="5">
        <f t="shared" si="2"/>
        <v>191.89655172413796</v>
      </c>
      <c r="L12" s="5">
        <f t="shared" si="3"/>
        <v>57.096551724137953</v>
      </c>
      <c r="M12" s="6">
        <f t="shared" si="4"/>
        <v>0.29753818508535496</v>
      </c>
      <c r="N12" s="6">
        <f t="shared" si="5"/>
        <v>-7.026181491464506E-2</v>
      </c>
    </row>
    <row r="13" spans="1:14" x14ac:dyDescent="0.3">
      <c r="A13" s="4">
        <v>9</v>
      </c>
      <c r="B13" s="4" t="s">
        <v>36</v>
      </c>
      <c r="C13" s="5">
        <v>339.65</v>
      </c>
      <c r="D13" s="5">
        <v>27</v>
      </c>
      <c r="E13" s="5">
        <v>16</v>
      </c>
      <c r="F13" s="8">
        <v>30</v>
      </c>
      <c r="G13" s="5">
        <v>714.81</v>
      </c>
      <c r="H13" s="9">
        <v>0.1</v>
      </c>
      <c r="I13" s="5">
        <f t="shared" si="0"/>
        <v>643.32899999999995</v>
      </c>
      <c r="J13" s="5">
        <f t="shared" si="1"/>
        <v>71.480999999999995</v>
      </c>
      <c r="K13" s="5">
        <f t="shared" si="2"/>
        <v>436.68816182459955</v>
      </c>
      <c r="L13" s="5">
        <f t="shared" si="3"/>
        <v>97.03816182459957</v>
      </c>
      <c r="M13" s="6">
        <f t="shared" si="4"/>
        <v>0.22221385947159242</v>
      </c>
      <c r="N13" s="6">
        <f t="shared" si="5"/>
        <v>-7.7786140528407571E-2</v>
      </c>
    </row>
    <row r="14" spans="1:14" x14ac:dyDescent="0.3">
      <c r="A14" s="4">
        <v>9</v>
      </c>
      <c r="B14" s="4" t="s">
        <v>37</v>
      </c>
      <c r="C14" s="5">
        <v>84.52</v>
      </c>
      <c r="D14" s="5">
        <v>53</v>
      </c>
      <c r="E14" s="5">
        <v>16</v>
      </c>
      <c r="F14" s="8">
        <v>35.07</v>
      </c>
      <c r="G14" s="5">
        <v>231.03</v>
      </c>
      <c r="H14" s="9">
        <v>0.1</v>
      </c>
      <c r="I14" s="5">
        <f t="shared" si="0"/>
        <v>207.92699999999999</v>
      </c>
      <c r="J14" s="5">
        <f t="shared" si="1"/>
        <v>23.103000000000009</v>
      </c>
      <c r="K14" s="5">
        <f t="shared" si="2"/>
        <v>117.15517241379311</v>
      </c>
      <c r="L14" s="5">
        <f t="shared" si="3"/>
        <v>32.635172413793114</v>
      </c>
      <c r="M14" s="6">
        <f t="shared" si="4"/>
        <v>0.27856364974245779</v>
      </c>
      <c r="N14" s="6">
        <f t="shared" si="5"/>
        <v>-7.2136350257542226E-2</v>
      </c>
    </row>
    <row r="15" spans="1:14" x14ac:dyDescent="0.3">
      <c r="A15" s="4">
        <v>9</v>
      </c>
      <c r="B15" s="4" t="s">
        <v>38</v>
      </c>
      <c r="C15" s="5">
        <v>91.84</v>
      </c>
      <c r="D15" s="5">
        <v>53</v>
      </c>
      <c r="E15" s="5">
        <v>16</v>
      </c>
      <c r="F15" s="8">
        <v>30</v>
      </c>
      <c r="G15" s="5">
        <v>232.85</v>
      </c>
      <c r="H15" s="9">
        <v>0.1</v>
      </c>
      <c r="I15" s="5">
        <f t="shared" si="0"/>
        <v>209.565</v>
      </c>
      <c r="J15" s="5">
        <f t="shared" si="1"/>
        <v>23.284999999999997</v>
      </c>
      <c r="K15" s="5">
        <f t="shared" si="2"/>
        <v>118.07809330628804</v>
      </c>
      <c r="L15" s="5">
        <f t="shared" si="3"/>
        <v>26.238093306288036</v>
      </c>
      <c r="M15" s="6">
        <f t="shared" si="4"/>
        <v>0.22220966287309429</v>
      </c>
      <c r="N15" s="6">
        <f t="shared" si="5"/>
        <v>-7.7790337126905695E-2</v>
      </c>
    </row>
    <row r="16" spans="1:14" x14ac:dyDescent="0.3">
      <c r="A16" s="4">
        <v>9</v>
      </c>
      <c r="B16" s="4" t="s">
        <v>39</v>
      </c>
      <c r="C16" s="5">
        <v>201.71</v>
      </c>
      <c r="D16" s="5">
        <v>53</v>
      </c>
      <c r="E16" s="5">
        <v>16</v>
      </c>
      <c r="F16" s="8">
        <v>30</v>
      </c>
      <c r="G16" s="5">
        <v>511.43</v>
      </c>
      <c r="H16" s="9">
        <v>0.1</v>
      </c>
      <c r="I16" s="5">
        <f t="shared" si="0"/>
        <v>460.28700000000003</v>
      </c>
      <c r="J16" s="5">
        <f t="shared" si="1"/>
        <v>51.142999999999972</v>
      </c>
      <c r="K16" s="5">
        <f t="shared" si="2"/>
        <v>259.34584178498989</v>
      </c>
      <c r="L16" s="5">
        <f t="shared" si="3"/>
        <v>57.635841784989879</v>
      </c>
      <c r="M16" s="6">
        <f t="shared" si="4"/>
        <v>0.22223545744285636</v>
      </c>
      <c r="N16" s="6">
        <f t="shared" si="5"/>
        <v>-7.7764542557143629E-2</v>
      </c>
    </row>
    <row r="17" spans="1:14" x14ac:dyDescent="0.3">
      <c r="A17" s="4">
        <v>9</v>
      </c>
      <c r="B17" s="4" t="s">
        <v>40</v>
      </c>
      <c r="C17" s="5">
        <v>156.06</v>
      </c>
      <c r="D17" s="5">
        <v>27</v>
      </c>
      <c r="E17" s="5">
        <v>16</v>
      </c>
      <c r="F17" s="8">
        <v>33.049999999999997</v>
      </c>
      <c r="G17" s="5">
        <v>343.4</v>
      </c>
      <c r="H17" s="9">
        <v>0.1</v>
      </c>
      <c r="I17" s="5">
        <f t="shared" si="0"/>
        <v>309.06</v>
      </c>
      <c r="J17" s="5">
        <f t="shared" si="1"/>
        <v>34.339999999999975</v>
      </c>
      <c r="K17" s="5">
        <f t="shared" si="2"/>
        <v>209.78821612815642</v>
      </c>
      <c r="L17" s="5">
        <f t="shared" si="3"/>
        <v>53.728216128156419</v>
      </c>
      <c r="M17" s="6">
        <f t="shared" si="4"/>
        <v>0.25610693069306939</v>
      </c>
      <c r="N17" s="6">
        <f t="shared" si="5"/>
        <v>-7.439306930693057E-2</v>
      </c>
    </row>
    <row r="18" spans="1:14" x14ac:dyDescent="0.3">
      <c r="A18" s="4">
        <v>9</v>
      </c>
      <c r="B18" s="4" t="s">
        <v>41</v>
      </c>
      <c r="C18" s="5">
        <v>76.06</v>
      </c>
      <c r="D18" s="5">
        <v>53</v>
      </c>
      <c r="E18" s="5">
        <v>16</v>
      </c>
      <c r="F18" s="8">
        <v>30</v>
      </c>
      <c r="G18" s="5">
        <v>192.85</v>
      </c>
      <c r="H18" s="9">
        <v>0.1</v>
      </c>
      <c r="I18" s="5">
        <f t="shared" si="0"/>
        <v>173.565</v>
      </c>
      <c r="J18" s="5">
        <f t="shared" si="1"/>
        <v>19.284999999999997</v>
      </c>
      <c r="K18" s="5">
        <f t="shared" si="2"/>
        <v>97.794117647058826</v>
      </c>
      <c r="L18" s="5">
        <f t="shared" si="3"/>
        <v>21.734117647058824</v>
      </c>
      <c r="M18" s="6">
        <f t="shared" si="4"/>
        <v>0.22224360902255638</v>
      </c>
      <c r="N18" s="6">
        <f t="shared" si="5"/>
        <v>-7.7756390977443607E-2</v>
      </c>
    </row>
    <row r="19" spans="1:14" x14ac:dyDescent="0.3">
      <c r="A19" s="4">
        <v>9</v>
      </c>
      <c r="B19" s="4" t="s">
        <v>42</v>
      </c>
      <c r="C19" s="5">
        <v>108.36</v>
      </c>
      <c r="D19" s="5">
        <v>27</v>
      </c>
      <c r="E19" s="5">
        <v>16</v>
      </c>
      <c r="F19" s="8">
        <v>33.21</v>
      </c>
      <c r="G19" s="5">
        <v>239.01</v>
      </c>
      <c r="H19" s="9">
        <v>0.1</v>
      </c>
      <c r="I19" s="5">
        <f t="shared" si="0"/>
        <v>215.10900000000001</v>
      </c>
      <c r="J19" s="5">
        <f t="shared" si="1"/>
        <v>23.900999999999982</v>
      </c>
      <c r="K19" s="5">
        <f t="shared" si="2"/>
        <v>146.01479771925062</v>
      </c>
      <c r="L19" s="5">
        <f t="shared" si="3"/>
        <v>37.654797719250624</v>
      </c>
      <c r="M19" s="6">
        <f t="shared" si="4"/>
        <v>0.25788343583950468</v>
      </c>
      <c r="N19" s="6">
        <f t="shared" si="5"/>
        <v>-7.4216564160495324E-2</v>
      </c>
    </row>
    <row r="20" spans="1:14" x14ac:dyDescent="0.3">
      <c r="A20" s="4">
        <v>9</v>
      </c>
      <c r="B20" s="4" t="s">
        <v>43</v>
      </c>
      <c r="C20" s="5">
        <v>112.69</v>
      </c>
      <c r="D20" s="5">
        <v>53</v>
      </c>
      <c r="E20" s="5">
        <v>16</v>
      </c>
      <c r="F20" s="8">
        <v>30.89</v>
      </c>
      <c r="G20" s="5">
        <v>289.39999999999998</v>
      </c>
      <c r="H20" s="9">
        <v>0.1</v>
      </c>
      <c r="I20" s="5">
        <f t="shared" si="0"/>
        <v>260.45999999999998</v>
      </c>
      <c r="J20" s="5">
        <f t="shared" si="1"/>
        <v>28.939999999999998</v>
      </c>
      <c r="K20" s="5">
        <f t="shared" si="2"/>
        <v>146.75456389452333</v>
      </c>
      <c r="L20" s="5">
        <f t="shared" si="3"/>
        <v>34.064563894523332</v>
      </c>
      <c r="M20" s="6">
        <f t="shared" si="4"/>
        <v>0.23211928127159642</v>
      </c>
      <c r="N20" s="6">
        <f t="shared" si="5"/>
        <v>-7.6780718728403585E-2</v>
      </c>
    </row>
    <row r="21" spans="1:14" x14ac:dyDescent="0.3">
      <c r="A21" s="4">
        <v>9</v>
      </c>
      <c r="B21" s="4" t="s">
        <v>44</v>
      </c>
      <c r="C21" s="5">
        <v>268.23</v>
      </c>
      <c r="D21" s="5">
        <v>30</v>
      </c>
      <c r="E21" s="5">
        <v>16</v>
      </c>
      <c r="F21" s="8">
        <v>30</v>
      </c>
      <c r="G21" s="5">
        <v>577.85</v>
      </c>
      <c r="H21" s="9">
        <v>0.1</v>
      </c>
      <c r="I21" s="5">
        <f t="shared" si="0"/>
        <v>520.06500000000005</v>
      </c>
      <c r="J21" s="5">
        <f t="shared" si="1"/>
        <v>57.784999999999968</v>
      </c>
      <c r="K21" s="5">
        <f t="shared" si="2"/>
        <v>344.87068965517244</v>
      </c>
      <c r="L21" s="5">
        <f t="shared" si="3"/>
        <v>76.640689655172423</v>
      </c>
      <c r="M21" s="6">
        <f t="shared" si="4"/>
        <v>0.22223022122234723</v>
      </c>
      <c r="N21" s="6">
        <f t="shared" si="5"/>
        <v>-7.7769778777652759E-2</v>
      </c>
    </row>
    <row r="22" spans="1:14" x14ac:dyDescent="0.3">
      <c r="A22" s="4">
        <v>9</v>
      </c>
      <c r="B22" s="4" t="s">
        <v>45</v>
      </c>
      <c r="C22" s="5">
        <v>207.92</v>
      </c>
      <c r="D22" s="5">
        <v>53</v>
      </c>
      <c r="E22" s="5">
        <v>16</v>
      </c>
      <c r="F22" s="8">
        <v>30.88</v>
      </c>
      <c r="G22" s="5">
        <v>533.88</v>
      </c>
      <c r="H22" s="9">
        <v>0.1</v>
      </c>
      <c r="I22" s="5">
        <f t="shared" si="0"/>
        <v>480.49200000000002</v>
      </c>
      <c r="J22" s="5">
        <f t="shared" si="1"/>
        <v>53.387999999999977</v>
      </c>
      <c r="K22" s="5">
        <f t="shared" si="2"/>
        <v>270.73022312373229</v>
      </c>
      <c r="L22" s="5">
        <f t="shared" si="3"/>
        <v>62.8102231237323</v>
      </c>
      <c r="M22" s="6">
        <f t="shared" si="4"/>
        <v>0.2320029969281488</v>
      </c>
      <c r="N22" s="6">
        <f t="shared" si="5"/>
        <v>-7.6797003071851166E-2</v>
      </c>
    </row>
    <row r="23" spans="1:14" x14ac:dyDescent="0.3">
      <c r="A23" s="4">
        <v>9</v>
      </c>
      <c r="B23" s="4" t="s">
        <v>46</v>
      </c>
      <c r="C23" s="5">
        <v>115.18</v>
      </c>
      <c r="D23" s="5">
        <v>27</v>
      </c>
      <c r="E23" s="5">
        <v>16</v>
      </c>
      <c r="F23" s="8">
        <v>30.37</v>
      </c>
      <c r="G23" s="5">
        <v>243.7</v>
      </c>
      <c r="H23" s="9">
        <v>0.1</v>
      </c>
      <c r="I23" s="5">
        <f t="shared" si="0"/>
        <v>219.32999999999998</v>
      </c>
      <c r="J23" s="5">
        <f t="shared" si="1"/>
        <v>24.370000000000005</v>
      </c>
      <c r="K23" s="5">
        <f t="shared" si="2"/>
        <v>148.87998913928863</v>
      </c>
      <c r="L23" s="5">
        <f t="shared" si="3"/>
        <v>33.699989139288618</v>
      </c>
      <c r="M23" s="6">
        <f t="shared" si="4"/>
        <v>0.22635674098390549</v>
      </c>
      <c r="N23" s="6">
        <f t="shared" si="5"/>
        <v>-7.734325901609454E-2</v>
      </c>
    </row>
    <row r="24" spans="1:14" x14ac:dyDescent="0.3">
      <c r="A24" s="4">
        <v>9</v>
      </c>
      <c r="B24" s="4" t="s">
        <v>47</v>
      </c>
      <c r="C24" s="5">
        <v>78</v>
      </c>
      <c r="D24" s="5">
        <v>27</v>
      </c>
      <c r="E24" s="5">
        <v>16</v>
      </c>
      <c r="F24" s="8">
        <v>33.549999999999997</v>
      </c>
      <c r="G24" s="5">
        <v>172.92</v>
      </c>
      <c r="H24" s="9">
        <v>0.1</v>
      </c>
      <c r="I24" s="5">
        <f t="shared" si="0"/>
        <v>155.62799999999999</v>
      </c>
      <c r="J24" s="5">
        <f t="shared" si="1"/>
        <v>17.292000000000002</v>
      </c>
      <c r="K24" s="5">
        <f t="shared" si="2"/>
        <v>105.63942438229704</v>
      </c>
      <c r="L24" s="5">
        <f t="shared" si="3"/>
        <v>27.639424382297037</v>
      </c>
      <c r="M24" s="6">
        <f t="shared" si="4"/>
        <v>0.26163929370036237</v>
      </c>
      <c r="N24" s="6">
        <f t="shared" si="5"/>
        <v>-7.3860706299637591E-2</v>
      </c>
    </row>
    <row r="25" spans="1:14" x14ac:dyDescent="0.3">
      <c r="A25" s="4">
        <v>9</v>
      </c>
      <c r="B25" s="4" t="s">
        <v>48</v>
      </c>
      <c r="C25" s="5">
        <v>37.32</v>
      </c>
      <c r="D25" s="5">
        <v>0</v>
      </c>
      <c r="E25" s="5">
        <v>16</v>
      </c>
      <c r="F25" s="8">
        <v>30.18</v>
      </c>
      <c r="G25" s="5">
        <v>62</v>
      </c>
      <c r="H25" s="9">
        <v>0.1</v>
      </c>
      <c r="I25" s="5">
        <f t="shared" si="0"/>
        <v>55.800000000000004</v>
      </c>
      <c r="J25" s="5">
        <f t="shared" si="1"/>
        <v>6.1999999999999957</v>
      </c>
      <c r="K25" s="5">
        <f t="shared" si="2"/>
        <v>48.103448275862078</v>
      </c>
      <c r="L25" s="5">
        <f t="shared" si="3"/>
        <v>10.783448275862078</v>
      </c>
      <c r="M25" s="6">
        <f t="shared" si="4"/>
        <v>0.22417204301075283</v>
      </c>
      <c r="N25" s="6">
        <f t="shared" si="5"/>
        <v>-7.7627956989247182E-2</v>
      </c>
    </row>
    <row r="26" spans="1:14" x14ac:dyDescent="0.3">
      <c r="A26" s="4">
        <v>9</v>
      </c>
      <c r="B26" s="4" t="s">
        <v>49</v>
      </c>
      <c r="C26" s="5">
        <v>191.66</v>
      </c>
      <c r="D26" s="5">
        <v>30</v>
      </c>
      <c r="E26" s="5">
        <v>16</v>
      </c>
      <c r="F26" s="8">
        <v>32.06</v>
      </c>
      <c r="G26" s="5">
        <v>425.41</v>
      </c>
      <c r="H26" s="9">
        <v>0.1</v>
      </c>
      <c r="I26" s="5">
        <f t="shared" si="0"/>
        <v>382.86900000000003</v>
      </c>
      <c r="J26" s="5">
        <f t="shared" si="1"/>
        <v>42.540999999999997</v>
      </c>
      <c r="K26" s="5">
        <f t="shared" si="2"/>
        <v>253.89190981432361</v>
      </c>
      <c r="L26" s="5">
        <f t="shared" si="3"/>
        <v>62.231909814323615</v>
      </c>
      <c r="M26" s="6">
        <f t="shared" si="4"/>
        <v>0.24511182676058915</v>
      </c>
      <c r="N26" s="6">
        <f t="shared" si="5"/>
        <v>-7.5488173239410844E-2</v>
      </c>
    </row>
    <row r="27" spans="1:14" x14ac:dyDescent="0.3">
      <c r="A27" s="4">
        <v>9</v>
      </c>
      <c r="B27" s="4" t="s">
        <v>50</v>
      </c>
      <c r="C27" s="5">
        <v>135.63</v>
      </c>
      <c r="D27" s="5">
        <v>27</v>
      </c>
      <c r="E27" s="5">
        <v>16</v>
      </c>
      <c r="F27" s="8">
        <v>34.19</v>
      </c>
      <c r="G27" s="5">
        <v>302.42</v>
      </c>
      <c r="H27" s="9">
        <v>0.1</v>
      </c>
      <c r="I27" s="5">
        <f t="shared" si="0"/>
        <v>272.178</v>
      </c>
      <c r="J27" s="5">
        <f t="shared" si="1"/>
        <v>30.242000000000019</v>
      </c>
      <c r="K27" s="5">
        <f t="shared" si="2"/>
        <v>184.75291881618247</v>
      </c>
      <c r="L27" s="5">
        <f t="shared" si="3"/>
        <v>49.122918816182477</v>
      </c>
      <c r="M27" s="6">
        <f t="shared" si="4"/>
        <v>0.26588439917994849</v>
      </c>
      <c r="N27" s="6">
        <f t="shared" si="5"/>
        <v>-7.6015600820051488E-2</v>
      </c>
    </row>
    <row r="28" spans="1:14" x14ac:dyDescent="0.3">
      <c r="A28" s="4">
        <v>9</v>
      </c>
      <c r="B28" s="4" t="s">
        <v>51</v>
      </c>
      <c r="C28" s="5">
        <v>135.61000000000001</v>
      </c>
      <c r="D28" s="5">
        <v>27</v>
      </c>
      <c r="E28" s="5">
        <v>16</v>
      </c>
      <c r="F28" s="8">
        <v>33.950000000000003</v>
      </c>
      <c r="G28" s="5">
        <v>302.45999999999998</v>
      </c>
      <c r="H28" s="9">
        <v>0.1</v>
      </c>
      <c r="I28" s="5">
        <f t="shared" si="0"/>
        <v>272.214</v>
      </c>
      <c r="J28" s="5">
        <f t="shared" si="1"/>
        <v>30.245999999999981</v>
      </c>
      <c r="K28" s="5">
        <f t="shared" si="2"/>
        <v>184.77735541677981</v>
      </c>
      <c r="L28" s="5">
        <f t="shared" si="3"/>
        <v>49.167355416779799</v>
      </c>
      <c r="M28" s="6">
        <f t="shared" si="4"/>
        <v>0.26608972352634325</v>
      </c>
      <c r="N28" s="6">
        <f t="shared" si="5"/>
        <v>-7.3410276473656777E-2</v>
      </c>
    </row>
    <row r="29" spans="1:14" x14ac:dyDescent="0.3">
      <c r="A29" s="4">
        <v>9</v>
      </c>
      <c r="B29" s="4" t="s">
        <v>52</v>
      </c>
      <c r="C29" s="5">
        <v>224.82</v>
      </c>
      <c r="D29" s="5">
        <v>53</v>
      </c>
      <c r="E29" s="5">
        <v>16</v>
      </c>
      <c r="F29" s="8">
        <v>31.41</v>
      </c>
      <c r="G29" s="5">
        <v>581.73</v>
      </c>
      <c r="H29" s="9">
        <v>0.1</v>
      </c>
      <c r="I29" s="5">
        <f t="shared" si="0"/>
        <v>523.55700000000002</v>
      </c>
      <c r="J29" s="5">
        <f t="shared" si="1"/>
        <v>58.173000000000002</v>
      </c>
      <c r="K29" s="5">
        <f t="shared" si="2"/>
        <v>294.99492900608521</v>
      </c>
      <c r="L29" s="5">
        <f t="shared" si="3"/>
        <v>70.174929006085222</v>
      </c>
      <c r="M29" s="6">
        <f t="shared" si="4"/>
        <v>0.23788520447630351</v>
      </c>
      <c r="N29" s="6">
        <f t="shared" si="5"/>
        <v>-7.6214795523696477E-2</v>
      </c>
    </row>
    <row r="30" spans="1:14" x14ac:dyDescent="0.3">
      <c r="A30" s="4">
        <v>9</v>
      </c>
      <c r="B30" s="4" t="s">
        <v>53</v>
      </c>
      <c r="C30" s="5">
        <v>57.95</v>
      </c>
      <c r="D30" s="5">
        <v>27</v>
      </c>
      <c r="E30" s="5">
        <v>16</v>
      </c>
      <c r="F30" s="8">
        <v>31.53</v>
      </c>
      <c r="G30" s="5">
        <v>124.2</v>
      </c>
      <c r="H30" s="9">
        <v>0.1</v>
      </c>
      <c r="I30" s="5">
        <f t="shared" si="0"/>
        <v>111.78</v>
      </c>
      <c r="J30" s="5">
        <f t="shared" si="1"/>
        <v>12.420000000000002</v>
      </c>
      <c r="K30" s="5">
        <f t="shared" si="2"/>
        <v>75.875644854737999</v>
      </c>
      <c r="L30" s="5">
        <f t="shared" si="3"/>
        <v>17.925644854737996</v>
      </c>
      <c r="M30" s="6">
        <f t="shared" si="4"/>
        <v>0.23625031311504752</v>
      </c>
      <c r="N30" s="6">
        <f t="shared" si="5"/>
        <v>-7.9049686884952508E-2</v>
      </c>
    </row>
    <row r="31" spans="1:14" x14ac:dyDescent="0.3">
      <c r="A31" s="4">
        <v>9</v>
      </c>
      <c r="B31" s="4" t="s">
        <v>54</v>
      </c>
      <c r="C31" s="5">
        <v>90.15</v>
      </c>
      <c r="D31" s="5">
        <v>53</v>
      </c>
      <c r="E31" s="5">
        <v>16</v>
      </c>
      <c r="F31" s="8">
        <v>30.77</v>
      </c>
      <c r="G31" s="5">
        <v>231.11</v>
      </c>
      <c r="H31" s="9">
        <v>0.1</v>
      </c>
      <c r="I31" s="5">
        <f t="shared" si="0"/>
        <v>207.99900000000002</v>
      </c>
      <c r="J31" s="5">
        <f t="shared" si="1"/>
        <v>23.11099999999999</v>
      </c>
      <c r="K31" s="5">
        <f t="shared" si="2"/>
        <v>117.19574036511158</v>
      </c>
      <c r="L31" s="5">
        <f t="shared" si="3"/>
        <v>27.04574036511157</v>
      </c>
      <c r="M31" s="6">
        <f t="shared" si="4"/>
        <v>0.23077409026004936</v>
      </c>
      <c r="N31" s="6">
        <f t="shared" si="5"/>
        <v>-7.6925909739950615E-2</v>
      </c>
    </row>
    <row r="32" spans="1:14" x14ac:dyDescent="0.3">
      <c r="A32" s="4">
        <v>9</v>
      </c>
      <c r="B32" s="4" t="s">
        <v>55</v>
      </c>
      <c r="C32" s="5">
        <v>150.72</v>
      </c>
      <c r="D32" s="5">
        <v>53</v>
      </c>
      <c r="E32" s="5">
        <v>16</v>
      </c>
      <c r="F32" s="8">
        <v>31</v>
      </c>
      <c r="G32" s="5">
        <v>387.67</v>
      </c>
      <c r="H32" s="9">
        <v>0.1</v>
      </c>
      <c r="I32" s="5">
        <f t="shared" si="0"/>
        <v>348.90300000000002</v>
      </c>
      <c r="J32" s="5">
        <f t="shared" si="1"/>
        <v>38.766999999999996</v>
      </c>
      <c r="K32" s="5">
        <f t="shared" si="2"/>
        <v>196.58722109533471</v>
      </c>
      <c r="L32" s="5">
        <f t="shared" si="3"/>
        <v>45.867221095334713</v>
      </c>
      <c r="M32" s="6">
        <f t="shared" si="4"/>
        <v>0.23331740913663693</v>
      </c>
      <c r="N32" s="6">
        <f t="shared" si="5"/>
        <v>-7.668259086336307E-2</v>
      </c>
    </row>
    <row r="33" spans="1:14" x14ac:dyDescent="0.3">
      <c r="A33" s="4">
        <v>9</v>
      </c>
      <c r="B33" s="4" t="s">
        <v>56</v>
      </c>
      <c r="C33" s="5">
        <v>132.03</v>
      </c>
      <c r="D33" s="5">
        <v>27</v>
      </c>
      <c r="E33" s="5">
        <v>16</v>
      </c>
      <c r="F33" s="8">
        <v>33.31</v>
      </c>
      <c r="G33" s="5">
        <v>290.52</v>
      </c>
      <c r="H33" s="9">
        <v>0.1</v>
      </c>
      <c r="I33" s="5">
        <f t="shared" si="0"/>
        <v>261.46800000000002</v>
      </c>
      <c r="J33" s="5">
        <f t="shared" si="1"/>
        <v>29.051999999999964</v>
      </c>
      <c r="K33" s="5">
        <f t="shared" si="2"/>
        <v>177.48303013847411</v>
      </c>
      <c r="L33" s="5">
        <f t="shared" si="3"/>
        <v>45.453030138474105</v>
      </c>
      <c r="M33" s="6">
        <f t="shared" si="4"/>
        <v>0.25609789343246608</v>
      </c>
      <c r="N33" s="6">
        <f t="shared" si="5"/>
        <v>-7.7002106567533923E-2</v>
      </c>
    </row>
    <row r="34" spans="1:14" x14ac:dyDescent="0.3">
      <c r="A34" s="4">
        <v>9</v>
      </c>
      <c r="B34" s="4" t="s">
        <v>57</v>
      </c>
      <c r="C34" s="5">
        <v>122.67</v>
      </c>
      <c r="D34" s="5">
        <v>27</v>
      </c>
      <c r="E34" s="5">
        <v>16</v>
      </c>
      <c r="F34" s="8">
        <v>30.5</v>
      </c>
      <c r="G34" s="5">
        <v>259</v>
      </c>
      <c r="H34" s="9">
        <v>0.1</v>
      </c>
      <c r="I34" s="5">
        <f t="shared" si="0"/>
        <v>233.1</v>
      </c>
      <c r="J34" s="5">
        <f t="shared" si="1"/>
        <v>25.900000000000006</v>
      </c>
      <c r="K34" s="5">
        <f t="shared" si="2"/>
        <v>158.22698886777084</v>
      </c>
      <c r="L34" s="5">
        <f t="shared" si="3"/>
        <v>35.556988867770841</v>
      </c>
      <c r="M34" s="6">
        <f t="shared" si="4"/>
        <v>0.22472138996138996</v>
      </c>
      <c r="N34" s="6">
        <f t="shared" si="5"/>
        <v>-8.0278610038610032E-2</v>
      </c>
    </row>
    <row r="35" spans="1:14" x14ac:dyDescent="0.3">
      <c r="A35" s="4">
        <v>9</v>
      </c>
      <c r="B35" s="4" t="s">
        <v>58</v>
      </c>
      <c r="C35" s="5">
        <v>76.05</v>
      </c>
      <c r="D35" s="5">
        <v>27</v>
      </c>
      <c r="E35" s="5">
        <v>16</v>
      </c>
      <c r="F35" s="8">
        <v>33.18</v>
      </c>
      <c r="G35" s="5">
        <v>167</v>
      </c>
      <c r="H35" s="9">
        <v>0.1</v>
      </c>
      <c r="I35" s="5">
        <f t="shared" si="0"/>
        <v>150.30000000000001</v>
      </c>
      <c r="J35" s="5">
        <f t="shared" si="1"/>
        <v>16.699999999999989</v>
      </c>
      <c r="K35" s="5">
        <f t="shared" si="2"/>
        <v>102.02280749389087</v>
      </c>
      <c r="L35" s="5">
        <f t="shared" si="3"/>
        <v>25.972807493890869</v>
      </c>
      <c r="M35" s="6">
        <f t="shared" si="4"/>
        <v>0.25457844311377259</v>
      </c>
      <c r="N35" s="6">
        <f t="shared" si="5"/>
        <v>-7.7221556886227394E-2</v>
      </c>
    </row>
    <row r="36" spans="1:14" x14ac:dyDescent="0.3">
      <c r="A36" s="4">
        <v>9</v>
      </c>
      <c r="B36" s="4" t="s">
        <v>59</v>
      </c>
      <c r="C36" s="5">
        <v>76.05</v>
      </c>
      <c r="D36" s="5">
        <v>27</v>
      </c>
      <c r="E36" s="5">
        <v>16</v>
      </c>
      <c r="F36" s="8">
        <v>38.11</v>
      </c>
      <c r="G36" s="5">
        <v>180.31</v>
      </c>
      <c r="H36" s="9">
        <v>0.1</v>
      </c>
      <c r="I36" s="5">
        <f t="shared" si="0"/>
        <v>162.279</v>
      </c>
      <c r="J36" s="5">
        <f t="shared" si="1"/>
        <v>18.031000000000006</v>
      </c>
      <c r="K36" s="5">
        <f t="shared" si="2"/>
        <v>110.15408634265545</v>
      </c>
      <c r="L36" s="5">
        <f t="shared" si="3"/>
        <v>34.104086342655449</v>
      </c>
      <c r="M36" s="6">
        <f t="shared" si="4"/>
        <v>0.30960346070656097</v>
      </c>
      <c r="N36" s="6">
        <f t="shared" si="5"/>
        <v>-7.1496539293439021E-2</v>
      </c>
    </row>
    <row r="37" spans="1:14" x14ac:dyDescent="0.3">
      <c r="A37" s="4">
        <v>9</v>
      </c>
      <c r="B37" s="4" t="s">
        <v>60</v>
      </c>
      <c r="C37" s="5">
        <v>75</v>
      </c>
      <c r="D37" s="5">
        <v>27</v>
      </c>
      <c r="E37" s="5">
        <v>16</v>
      </c>
      <c r="F37" s="8">
        <v>34.68</v>
      </c>
      <c r="G37" s="5">
        <v>168.49</v>
      </c>
      <c r="H37" s="9">
        <v>0.1</v>
      </c>
      <c r="I37" s="5">
        <f t="shared" si="0"/>
        <v>151.64100000000002</v>
      </c>
      <c r="J37" s="5">
        <f t="shared" si="1"/>
        <v>16.84899999999999</v>
      </c>
      <c r="K37" s="5">
        <f t="shared" si="2"/>
        <v>102.93307086614176</v>
      </c>
      <c r="L37" s="5">
        <f t="shared" si="3"/>
        <v>27.933070866141762</v>
      </c>
      <c r="M37" s="6">
        <f t="shared" si="4"/>
        <v>0.27137119908204266</v>
      </c>
      <c r="N37" s="6">
        <f t="shared" si="5"/>
        <v>-7.5428800917957339E-2</v>
      </c>
    </row>
    <row r="38" spans="1:14" x14ac:dyDescent="0.3">
      <c r="A38" s="4">
        <v>9</v>
      </c>
      <c r="B38" s="4" t="s">
        <v>61</v>
      </c>
      <c r="C38" s="5">
        <v>119.93</v>
      </c>
      <c r="D38" s="5">
        <v>27</v>
      </c>
      <c r="E38" s="5">
        <v>16</v>
      </c>
      <c r="F38" s="8">
        <v>33.49</v>
      </c>
      <c r="G38" s="5">
        <v>264.60000000000002</v>
      </c>
      <c r="H38" s="9">
        <v>0.1</v>
      </c>
      <c r="I38" s="5">
        <f t="shared" si="0"/>
        <v>238.14000000000001</v>
      </c>
      <c r="J38" s="5">
        <f t="shared" si="1"/>
        <v>26.460000000000008</v>
      </c>
      <c r="K38" s="5">
        <f t="shared" si="2"/>
        <v>161.64811295139833</v>
      </c>
      <c r="L38" s="5">
        <f t="shared" si="3"/>
        <v>41.718112951398325</v>
      </c>
      <c r="M38" s="6">
        <f t="shared" si="4"/>
        <v>0.25807980179726214</v>
      </c>
      <c r="N38" s="6">
        <f t="shared" si="5"/>
        <v>-7.6820198202737888E-2</v>
      </c>
    </row>
    <row r="39" spans="1:14" x14ac:dyDescent="0.3">
      <c r="A39" s="4">
        <v>9</v>
      </c>
      <c r="B39" s="4" t="s">
        <v>62</v>
      </c>
      <c r="C39" s="5">
        <v>351.67</v>
      </c>
      <c r="D39" s="5">
        <v>0</v>
      </c>
      <c r="E39" s="5">
        <v>16</v>
      </c>
      <c r="F39" s="8">
        <v>35.450000000000003</v>
      </c>
      <c r="G39" s="5">
        <v>631.97</v>
      </c>
      <c r="H39" s="9">
        <v>0.1</v>
      </c>
      <c r="I39" s="5">
        <f t="shared" si="0"/>
        <v>568.77300000000002</v>
      </c>
      <c r="J39" s="5">
        <f t="shared" si="1"/>
        <v>63.197000000000003</v>
      </c>
      <c r="K39" s="5">
        <f t="shared" si="2"/>
        <v>490.32155172413798</v>
      </c>
      <c r="L39" s="5">
        <f t="shared" si="3"/>
        <v>138.65155172413796</v>
      </c>
      <c r="M39" s="6">
        <f t="shared" si="4"/>
        <v>0.28277678441135573</v>
      </c>
      <c r="N39" s="6">
        <f t="shared" si="5"/>
        <v>-7.1723215588644307E-2</v>
      </c>
    </row>
    <row r="40" spans="1:14" x14ac:dyDescent="0.3">
      <c r="A40" s="4">
        <v>9</v>
      </c>
      <c r="B40" s="4" t="s">
        <v>63</v>
      </c>
      <c r="C40" s="5">
        <v>235.11</v>
      </c>
      <c r="D40" s="5">
        <v>27</v>
      </c>
      <c r="E40" s="5">
        <v>16</v>
      </c>
      <c r="F40" s="8">
        <v>32.22</v>
      </c>
      <c r="G40" s="5">
        <v>509</v>
      </c>
      <c r="H40" s="9">
        <v>0.1</v>
      </c>
      <c r="I40" s="5">
        <f t="shared" si="0"/>
        <v>458.1</v>
      </c>
      <c r="J40" s="5">
        <f t="shared" si="1"/>
        <v>50.899999999999977</v>
      </c>
      <c r="K40" s="5">
        <f t="shared" si="2"/>
        <v>310.9557426011404</v>
      </c>
      <c r="L40" s="5">
        <f t="shared" si="3"/>
        <v>75.845742601140387</v>
      </c>
      <c r="M40" s="6">
        <f t="shared" si="4"/>
        <v>0.24391169613621483</v>
      </c>
      <c r="N40" s="6">
        <f t="shared" si="5"/>
        <v>-7.8288303863785158E-2</v>
      </c>
    </row>
    <row r="41" spans="1:14" x14ac:dyDescent="0.3">
      <c r="A41" s="4">
        <v>9</v>
      </c>
      <c r="B41" s="4" t="s">
        <v>64</v>
      </c>
      <c r="C41" s="5">
        <v>93.29</v>
      </c>
      <c r="D41" s="5">
        <v>27</v>
      </c>
      <c r="E41" s="5">
        <v>16</v>
      </c>
      <c r="F41" s="8">
        <v>34.71</v>
      </c>
      <c r="G41" s="5">
        <v>209.68</v>
      </c>
      <c r="H41" s="9">
        <v>0.1</v>
      </c>
      <c r="I41" s="5">
        <f t="shared" si="0"/>
        <v>188.71200000000002</v>
      </c>
      <c r="J41" s="5">
        <f t="shared" si="1"/>
        <v>20.967999999999989</v>
      </c>
      <c r="K41" s="5">
        <f t="shared" si="2"/>
        <v>128.09666033125171</v>
      </c>
      <c r="L41" s="5">
        <f t="shared" si="3"/>
        <v>34.806660331251706</v>
      </c>
      <c r="M41" s="6">
        <f t="shared" si="4"/>
        <v>0.27172184068845651</v>
      </c>
      <c r="N41" s="6">
        <f t="shared" si="5"/>
        <v>-7.5378159311543513E-2</v>
      </c>
    </row>
    <row r="42" spans="1:14" x14ac:dyDescent="0.3">
      <c r="A42" s="4">
        <v>9</v>
      </c>
      <c r="B42" s="4" t="s">
        <v>65</v>
      </c>
      <c r="C42" s="5">
        <v>93.23</v>
      </c>
      <c r="D42" s="5">
        <v>27</v>
      </c>
      <c r="E42" s="5">
        <v>16</v>
      </c>
      <c r="F42" s="8">
        <v>31.72</v>
      </c>
      <c r="G42" s="5">
        <v>201.15</v>
      </c>
      <c r="H42" s="9">
        <v>0.1</v>
      </c>
      <c r="I42" s="5">
        <f t="shared" si="0"/>
        <v>181.035</v>
      </c>
      <c r="J42" s="5">
        <f t="shared" si="1"/>
        <v>20.115000000000009</v>
      </c>
      <c r="K42" s="5">
        <f t="shared" si="2"/>
        <v>122.88555525386914</v>
      </c>
      <c r="L42" s="5">
        <f t="shared" si="3"/>
        <v>29.655555253869139</v>
      </c>
      <c r="M42" s="6">
        <f t="shared" si="4"/>
        <v>0.24132661640014366</v>
      </c>
      <c r="N42" s="6">
        <f t="shared" si="5"/>
        <v>-7.587338359985632E-2</v>
      </c>
    </row>
    <row r="43" spans="1:14" x14ac:dyDescent="0.3">
      <c r="A43" s="4">
        <v>9</v>
      </c>
      <c r="B43" s="4" t="s">
        <v>66</v>
      </c>
      <c r="C43" s="5">
        <v>16.93</v>
      </c>
      <c r="D43" s="5">
        <v>27</v>
      </c>
      <c r="E43" s="5">
        <v>16</v>
      </c>
      <c r="F43" s="8">
        <v>32.71</v>
      </c>
      <c r="G43" s="5">
        <v>36.92</v>
      </c>
      <c r="H43" s="9">
        <v>0.1</v>
      </c>
      <c r="I43" s="5">
        <f t="shared" si="0"/>
        <v>33.228000000000002</v>
      </c>
      <c r="J43" s="5">
        <f t="shared" si="1"/>
        <v>3.6920000000000002</v>
      </c>
      <c r="K43" s="5">
        <f t="shared" si="2"/>
        <v>22.554982351344016</v>
      </c>
      <c r="L43" s="5">
        <f t="shared" si="3"/>
        <v>5.6249823513440163</v>
      </c>
      <c r="M43" s="6">
        <f t="shared" si="4"/>
        <v>0.24938979174190454</v>
      </c>
      <c r="N43" s="6">
        <f t="shared" si="5"/>
        <v>-7.7710208258095465E-2</v>
      </c>
    </row>
    <row r="44" spans="1:14" x14ac:dyDescent="0.3">
      <c r="A44" s="4">
        <v>9</v>
      </c>
      <c r="B44" s="4" t="s">
        <v>67</v>
      </c>
      <c r="C44" s="5">
        <v>51.72</v>
      </c>
      <c r="D44" s="5">
        <v>0</v>
      </c>
      <c r="E44" s="5">
        <v>16</v>
      </c>
      <c r="F44" s="8">
        <v>32.53</v>
      </c>
      <c r="G44" s="5">
        <v>88.93</v>
      </c>
      <c r="H44" s="9">
        <v>0.1</v>
      </c>
      <c r="I44" s="5">
        <f t="shared" si="0"/>
        <v>80.037000000000006</v>
      </c>
      <c r="J44" s="5">
        <f t="shared" si="1"/>
        <v>8.8930000000000007</v>
      </c>
      <c r="K44" s="5">
        <f t="shared" si="2"/>
        <v>68.997413793103462</v>
      </c>
      <c r="L44" s="5">
        <f t="shared" si="3"/>
        <v>17.277413793103463</v>
      </c>
      <c r="M44" s="6">
        <f t="shared" si="4"/>
        <v>0.25040668690730555</v>
      </c>
      <c r="N44" s="6">
        <f t="shared" si="5"/>
        <v>-7.489331309269448E-2</v>
      </c>
    </row>
    <row r="45" spans="1:14" x14ac:dyDescent="0.3">
      <c r="A45" s="4">
        <v>9</v>
      </c>
      <c r="B45" s="4" t="s">
        <v>68</v>
      </c>
      <c r="C45" s="5">
        <v>101.55</v>
      </c>
      <c r="D45" s="5">
        <v>27</v>
      </c>
      <c r="E45" s="5">
        <v>16</v>
      </c>
      <c r="F45" s="8">
        <v>33.97</v>
      </c>
      <c r="G45" s="5">
        <v>225.67</v>
      </c>
      <c r="H45" s="9">
        <v>0.1</v>
      </c>
      <c r="I45" s="5">
        <f t="shared" si="0"/>
        <v>203.10299999999998</v>
      </c>
      <c r="J45" s="5">
        <f t="shared" si="1"/>
        <v>22.567000000000007</v>
      </c>
      <c r="K45" s="5">
        <f t="shared" si="2"/>
        <v>137.865191420038</v>
      </c>
      <c r="L45" s="5">
        <f t="shared" si="3"/>
        <v>36.315191420038005</v>
      </c>
      <c r="M45" s="6">
        <f t="shared" si="4"/>
        <v>0.26341088019379327</v>
      </c>
      <c r="N45" s="6">
        <f t="shared" si="5"/>
        <v>-7.6289119806206729E-2</v>
      </c>
    </row>
    <row r="46" spans="1:14" x14ac:dyDescent="0.3">
      <c r="A46" s="4">
        <v>9</v>
      </c>
      <c r="B46" s="4" t="s">
        <v>69</v>
      </c>
      <c r="C46" s="5">
        <v>160.87</v>
      </c>
      <c r="D46" s="5">
        <v>27</v>
      </c>
      <c r="E46" s="5">
        <v>16</v>
      </c>
      <c r="F46" s="8">
        <v>30.26</v>
      </c>
      <c r="G46" s="5">
        <v>338.49</v>
      </c>
      <c r="H46" s="9">
        <v>0.1</v>
      </c>
      <c r="I46" s="5">
        <f t="shared" si="0"/>
        <v>304.64100000000002</v>
      </c>
      <c r="J46" s="5">
        <f t="shared" si="1"/>
        <v>33.84899999999999</v>
      </c>
      <c r="K46" s="5">
        <f t="shared" si="2"/>
        <v>206.78862340483306</v>
      </c>
      <c r="L46" s="5">
        <f t="shared" si="3"/>
        <v>45.918623404833056</v>
      </c>
      <c r="M46" s="6">
        <f t="shared" si="4"/>
        <v>0.22205584934398206</v>
      </c>
      <c r="N46" s="6">
        <f t="shared" si="5"/>
        <v>-8.0544150656017971E-2</v>
      </c>
    </row>
    <row r="47" spans="1:14" x14ac:dyDescent="0.3">
      <c r="A47" s="4">
        <v>9</v>
      </c>
      <c r="B47" s="4" t="s">
        <v>70</v>
      </c>
      <c r="C47" s="5">
        <v>322.29000000000002</v>
      </c>
      <c r="D47" s="5">
        <v>53</v>
      </c>
      <c r="E47" s="5">
        <v>16</v>
      </c>
      <c r="F47" s="8">
        <v>32.950000000000003</v>
      </c>
      <c r="G47" s="5">
        <v>853.09</v>
      </c>
      <c r="H47" s="9">
        <v>0.1</v>
      </c>
      <c r="I47" s="5">
        <f t="shared" si="0"/>
        <v>767.78100000000006</v>
      </c>
      <c r="J47" s="5">
        <f t="shared" si="1"/>
        <v>85.308999999999969</v>
      </c>
      <c r="K47" s="5">
        <f t="shared" si="2"/>
        <v>432.60141987829621</v>
      </c>
      <c r="L47" s="5">
        <f t="shared" si="3"/>
        <v>110.31141987829619</v>
      </c>
      <c r="M47" s="6">
        <f t="shared" si="4"/>
        <v>0.25499551043852353</v>
      </c>
      <c r="N47" s="6">
        <f t="shared" si="5"/>
        <v>-7.4504489561476483E-2</v>
      </c>
    </row>
    <row r="48" spans="1:14" x14ac:dyDescent="0.3">
      <c r="A48" s="4">
        <v>9</v>
      </c>
      <c r="B48" s="4" t="s">
        <v>71</v>
      </c>
      <c r="C48" s="5">
        <v>108</v>
      </c>
      <c r="D48" s="5">
        <v>53</v>
      </c>
      <c r="E48" s="5">
        <v>16</v>
      </c>
      <c r="F48" s="8">
        <v>32.51</v>
      </c>
      <c r="G48" s="5">
        <v>284</v>
      </c>
      <c r="H48" s="9">
        <v>0.1</v>
      </c>
      <c r="I48" s="5">
        <f t="shared" si="0"/>
        <v>255.6</v>
      </c>
      <c r="J48" s="5">
        <f t="shared" si="1"/>
        <v>28.400000000000006</v>
      </c>
      <c r="K48" s="5">
        <f t="shared" si="2"/>
        <v>144.01622718052738</v>
      </c>
      <c r="L48" s="5">
        <f t="shared" si="3"/>
        <v>36.01622718052738</v>
      </c>
      <c r="M48" s="6">
        <f t="shared" si="4"/>
        <v>0.25008450704225349</v>
      </c>
      <c r="N48" s="6">
        <f t="shared" si="5"/>
        <v>-7.501549295774651E-2</v>
      </c>
    </row>
    <row r="49" spans="1:14" x14ac:dyDescent="0.3">
      <c r="A49" s="4">
        <v>9</v>
      </c>
      <c r="B49" s="4" t="s">
        <v>72</v>
      </c>
      <c r="C49" s="5">
        <v>131.63</v>
      </c>
      <c r="D49" s="5">
        <v>27</v>
      </c>
      <c r="E49" s="5">
        <v>16</v>
      </c>
      <c r="F49" s="8">
        <v>35.299999999999997</v>
      </c>
      <c r="G49" s="5">
        <v>298.54000000000002</v>
      </c>
      <c r="H49" s="9">
        <v>0.1</v>
      </c>
      <c r="I49" s="5">
        <f t="shared" si="0"/>
        <v>268.68600000000004</v>
      </c>
      <c r="J49" s="5">
        <f t="shared" si="1"/>
        <v>29.853999999999985</v>
      </c>
      <c r="K49" s="5">
        <f t="shared" si="2"/>
        <v>182.38256855824062</v>
      </c>
      <c r="L49" s="5">
        <f t="shared" si="3"/>
        <v>50.752568558240625</v>
      </c>
      <c r="M49" s="6">
        <f t="shared" si="4"/>
        <v>0.27827532510067537</v>
      </c>
      <c r="N49" s="6">
        <f t="shared" si="5"/>
        <v>-7.4724674899324606E-2</v>
      </c>
    </row>
    <row r="50" spans="1:14" x14ac:dyDescent="0.3">
      <c r="A50" s="4">
        <v>9</v>
      </c>
      <c r="B50" s="4" t="s">
        <v>73</v>
      </c>
      <c r="C50" s="5">
        <v>67.62</v>
      </c>
      <c r="D50" s="5">
        <v>53</v>
      </c>
      <c r="E50" s="5">
        <v>16</v>
      </c>
      <c r="F50" s="8">
        <v>35.130000000000003</v>
      </c>
      <c r="G50" s="5">
        <v>185.01</v>
      </c>
      <c r="H50" s="9">
        <v>0.1</v>
      </c>
      <c r="I50" s="5">
        <f t="shared" si="0"/>
        <v>166.50899999999999</v>
      </c>
      <c r="J50" s="5">
        <f t="shared" si="1"/>
        <v>18.501000000000005</v>
      </c>
      <c r="K50" s="5">
        <f t="shared" si="2"/>
        <v>93.818458417849897</v>
      </c>
      <c r="L50" s="5">
        <f t="shared" si="3"/>
        <v>26.198458417849892</v>
      </c>
      <c r="M50" s="6">
        <f t="shared" si="4"/>
        <v>0.27924631101021558</v>
      </c>
      <c r="N50" s="6">
        <f t="shared" si="5"/>
        <v>-7.2053688989784426E-2</v>
      </c>
    </row>
    <row r="51" spans="1:14" x14ac:dyDescent="0.3">
      <c r="A51" s="4">
        <v>9</v>
      </c>
      <c r="B51" s="4" t="s">
        <v>74</v>
      </c>
      <c r="C51" s="5">
        <v>345.09</v>
      </c>
      <c r="D51" s="5">
        <v>53</v>
      </c>
      <c r="E51" s="5">
        <v>16</v>
      </c>
      <c r="F51" s="8">
        <v>34.39</v>
      </c>
      <c r="G51" s="5">
        <v>933.49</v>
      </c>
      <c r="H51" s="9">
        <v>0.1</v>
      </c>
      <c r="I51" s="5">
        <f t="shared" si="0"/>
        <v>840.14100000000008</v>
      </c>
      <c r="J51" s="5">
        <f t="shared" si="1"/>
        <v>93.348999999999933</v>
      </c>
      <c r="K51" s="5">
        <f t="shared" si="2"/>
        <v>473.37221095334689</v>
      </c>
      <c r="L51" s="5">
        <f t="shared" si="3"/>
        <v>128.28221095334692</v>
      </c>
      <c r="M51" s="6">
        <f t="shared" si="4"/>
        <v>0.2709964970165723</v>
      </c>
      <c r="N51" s="6">
        <f t="shared" si="5"/>
        <v>-7.2903502983427682E-2</v>
      </c>
    </row>
    <row r="52" spans="1:14" x14ac:dyDescent="0.3">
      <c r="A52" s="4">
        <v>9</v>
      </c>
      <c r="B52" s="4" t="s">
        <v>75</v>
      </c>
      <c r="C52" s="5">
        <v>446.06</v>
      </c>
      <c r="D52" s="5">
        <v>53</v>
      </c>
      <c r="E52" s="5">
        <v>16</v>
      </c>
      <c r="F52" s="8">
        <v>34.03</v>
      </c>
      <c r="G52" s="5">
        <v>1200.05</v>
      </c>
      <c r="H52" s="9">
        <v>0.1</v>
      </c>
      <c r="I52" s="5">
        <f t="shared" si="0"/>
        <v>1080.0450000000001</v>
      </c>
      <c r="J52" s="5">
        <f t="shared" si="1"/>
        <v>120.00499999999988</v>
      </c>
      <c r="K52" s="5">
        <f t="shared" si="2"/>
        <v>608.54462474645038</v>
      </c>
      <c r="L52" s="5">
        <f t="shared" si="3"/>
        <v>162.48462474645038</v>
      </c>
      <c r="M52" s="6">
        <f t="shared" si="4"/>
        <v>0.26700527478021757</v>
      </c>
      <c r="N52" s="6">
        <f t="shared" si="5"/>
        <v>-7.329472521978242E-2</v>
      </c>
    </row>
    <row r="53" spans="1:14" x14ac:dyDescent="0.3">
      <c r="A53" s="4">
        <v>9</v>
      </c>
      <c r="B53" s="4" t="s">
        <v>76</v>
      </c>
      <c r="C53" s="5">
        <v>78.12</v>
      </c>
      <c r="D53" s="5">
        <v>27</v>
      </c>
      <c r="E53" s="5">
        <v>16</v>
      </c>
      <c r="F53" s="8">
        <v>30.42</v>
      </c>
      <c r="G53" s="5">
        <v>164.74</v>
      </c>
      <c r="H53" s="9">
        <v>0.1</v>
      </c>
      <c r="I53" s="5">
        <f t="shared" si="0"/>
        <v>148.26600000000002</v>
      </c>
      <c r="J53" s="5">
        <f t="shared" si="1"/>
        <v>16.47399999999999</v>
      </c>
      <c r="K53" s="5">
        <f t="shared" si="2"/>
        <v>100.64213956014122</v>
      </c>
      <c r="L53" s="5">
        <f t="shared" si="3"/>
        <v>22.522139560141213</v>
      </c>
      <c r="M53" s="6">
        <f t="shared" si="4"/>
        <v>0.22378438751972823</v>
      </c>
      <c r="N53" s="6">
        <f t="shared" si="5"/>
        <v>-8.0415612480271792E-2</v>
      </c>
    </row>
    <row r="54" spans="1:14" x14ac:dyDescent="0.3">
      <c r="A54" s="4">
        <v>9</v>
      </c>
      <c r="B54" s="4" t="s">
        <v>77</v>
      </c>
      <c r="C54" s="5">
        <v>581</v>
      </c>
      <c r="D54" s="5">
        <v>53</v>
      </c>
      <c r="E54" s="5">
        <v>16</v>
      </c>
      <c r="F54" s="8">
        <v>31.21</v>
      </c>
      <c r="G54" s="5">
        <v>1499</v>
      </c>
      <c r="H54" s="9">
        <v>0.1</v>
      </c>
      <c r="I54" s="5">
        <f t="shared" si="0"/>
        <v>1349.1000000000001</v>
      </c>
      <c r="J54" s="5">
        <f t="shared" si="1"/>
        <v>149.89999999999986</v>
      </c>
      <c r="K54" s="5">
        <f t="shared" si="2"/>
        <v>760.14198782961466</v>
      </c>
      <c r="L54" s="5">
        <f t="shared" si="3"/>
        <v>179.14198782961466</v>
      </c>
      <c r="M54" s="6">
        <f t="shared" si="4"/>
        <v>0.23566911274182795</v>
      </c>
      <c r="N54" s="6">
        <f t="shared" si="5"/>
        <v>-7.6430887258172042E-2</v>
      </c>
    </row>
    <row r="55" spans="1:14" x14ac:dyDescent="0.3">
      <c r="A55" s="4">
        <v>9</v>
      </c>
      <c r="B55" s="4" t="s">
        <v>78</v>
      </c>
      <c r="C55" s="5">
        <v>570</v>
      </c>
      <c r="D55" s="5">
        <v>53</v>
      </c>
      <c r="E55" s="5">
        <v>16</v>
      </c>
      <c r="F55" s="8">
        <v>32.520000000000003</v>
      </c>
      <c r="G55" s="5">
        <v>1499.16</v>
      </c>
      <c r="H55" s="9">
        <v>0.1</v>
      </c>
      <c r="I55" s="5">
        <f t="shared" si="0"/>
        <v>1349.2440000000001</v>
      </c>
      <c r="J55" s="5">
        <f t="shared" si="1"/>
        <v>149.91599999999994</v>
      </c>
      <c r="K55" s="5">
        <f t="shared" si="2"/>
        <v>760.22312373225168</v>
      </c>
      <c r="L55" s="5">
        <f t="shared" si="3"/>
        <v>190.22312373225168</v>
      </c>
      <c r="M55" s="6">
        <f t="shared" si="4"/>
        <v>0.25022012326903081</v>
      </c>
      <c r="N55" s="6">
        <f t="shared" si="5"/>
        <v>-7.497987673096923E-2</v>
      </c>
    </row>
    <row r="56" spans="1:14" x14ac:dyDescent="0.3">
      <c r="A56" s="4">
        <v>9</v>
      </c>
      <c r="B56" s="4" t="s">
        <v>79</v>
      </c>
      <c r="C56" s="5">
        <v>138.71</v>
      </c>
      <c r="D56" s="5">
        <v>27</v>
      </c>
      <c r="E56" s="5">
        <v>16</v>
      </c>
      <c r="F56" s="8">
        <v>33.159999999999997</v>
      </c>
      <c r="G56" s="5">
        <v>304.52999999999997</v>
      </c>
      <c r="H56" s="9">
        <v>0.1</v>
      </c>
      <c r="I56" s="5">
        <f t="shared" si="0"/>
        <v>274.077</v>
      </c>
      <c r="J56" s="5">
        <f t="shared" si="1"/>
        <v>30.452999999999975</v>
      </c>
      <c r="K56" s="5">
        <f t="shared" si="2"/>
        <v>186.04194949769212</v>
      </c>
      <c r="L56" s="5">
        <f t="shared" si="3"/>
        <v>47.331949497692108</v>
      </c>
      <c r="M56" s="6">
        <f t="shared" si="4"/>
        <v>0.25441546718622871</v>
      </c>
      <c r="N56" s="6">
        <f t="shared" si="5"/>
        <v>-7.7184532813771245E-2</v>
      </c>
    </row>
    <row r="57" spans="1:14" x14ac:dyDescent="0.3">
      <c r="A57" s="4">
        <v>9</v>
      </c>
      <c r="B57" s="4" t="s">
        <v>80</v>
      </c>
      <c r="C57" s="5">
        <v>75.42</v>
      </c>
      <c r="D57" s="5">
        <v>27</v>
      </c>
      <c r="E57" s="5">
        <v>16</v>
      </c>
      <c r="F57" s="8">
        <v>32.82</v>
      </c>
      <c r="G57" s="5">
        <v>164.74</v>
      </c>
      <c r="H57" s="9">
        <v>0.1</v>
      </c>
      <c r="I57" s="5">
        <f t="shared" si="0"/>
        <v>148.26600000000002</v>
      </c>
      <c r="J57" s="5">
        <f t="shared" si="1"/>
        <v>16.47399999999999</v>
      </c>
      <c r="K57" s="5">
        <f t="shared" si="2"/>
        <v>100.64213956014122</v>
      </c>
      <c r="L57" s="5">
        <f t="shared" si="3"/>
        <v>25.222139560141215</v>
      </c>
      <c r="M57" s="6">
        <f t="shared" si="4"/>
        <v>0.25061211606167311</v>
      </c>
      <c r="N57" s="6">
        <f t="shared" si="5"/>
        <v>-7.7587883938326885E-2</v>
      </c>
    </row>
    <row r="58" spans="1:14" x14ac:dyDescent="0.3">
      <c r="A58" s="4">
        <v>9</v>
      </c>
      <c r="B58" s="4" t="s">
        <v>81</v>
      </c>
      <c r="C58" s="5">
        <v>223.81</v>
      </c>
      <c r="D58" s="5">
        <v>30</v>
      </c>
      <c r="E58" s="5">
        <v>16</v>
      </c>
      <c r="F58" s="8">
        <v>30.7</v>
      </c>
      <c r="G58" s="5">
        <v>487.02</v>
      </c>
      <c r="H58" s="9">
        <v>0.1</v>
      </c>
      <c r="I58" s="5">
        <f t="shared" si="0"/>
        <v>438.31799999999998</v>
      </c>
      <c r="J58" s="5">
        <f t="shared" si="1"/>
        <v>48.701999999999998</v>
      </c>
      <c r="K58" s="5">
        <f t="shared" si="2"/>
        <v>290.66180371352783</v>
      </c>
      <c r="L58" s="5">
        <f t="shared" si="3"/>
        <v>66.851803713527829</v>
      </c>
      <c r="M58" s="6">
        <f t="shared" si="4"/>
        <v>0.22999858550185021</v>
      </c>
      <c r="N58" s="6">
        <f t="shared" si="5"/>
        <v>-7.7001414498149789E-2</v>
      </c>
    </row>
    <row r="59" spans="1:14" x14ac:dyDescent="0.3">
      <c r="A59" s="4">
        <v>9</v>
      </c>
      <c r="B59" s="4" t="s">
        <v>82</v>
      </c>
      <c r="C59" s="5">
        <v>201.9</v>
      </c>
      <c r="D59" s="5">
        <v>53</v>
      </c>
      <c r="E59" s="5">
        <v>16</v>
      </c>
      <c r="F59" s="8">
        <v>39.340000000000003</v>
      </c>
      <c r="G59" s="5">
        <v>590.72</v>
      </c>
      <c r="H59" s="9">
        <v>0.1</v>
      </c>
      <c r="I59" s="5">
        <f t="shared" si="0"/>
        <v>531.64800000000002</v>
      </c>
      <c r="J59" s="5">
        <f t="shared" si="1"/>
        <v>59.072000000000003</v>
      </c>
      <c r="K59" s="5">
        <f t="shared" si="2"/>
        <v>299.55375253549698</v>
      </c>
      <c r="L59" s="5">
        <f t="shared" si="3"/>
        <v>97.653752535496977</v>
      </c>
      <c r="M59" s="6">
        <f t="shared" si="4"/>
        <v>0.32599742686890576</v>
      </c>
      <c r="N59" s="6">
        <f t="shared" si="5"/>
        <v>-6.7402573131094268E-2</v>
      </c>
    </row>
    <row r="60" spans="1:14" x14ac:dyDescent="0.3">
      <c r="A60" s="4">
        <v>9</v>
      </c>
      <c r="B60" s="4" t="s">
        <v>83</v>
      </c>
      <c r="C60" s="5">
        <v>221.86</v>
      </c>
      <c r="D60" s="5">
        <v>53</v>
      </c>
      <c r="E60" s="5">
        <v>16</v>
      </c>
      <c r="F60" s="8">
        <v>39.43</v>
      </c>
      <c r="G60" s="5">
        <v>650.09</v>
      </c>
      <c r="H60" s="9">
        <v>0.1</v>
      </c>
      <c r="I60" s="5">
        <f t="shared" si="0"/>
        <v>585.08100000000002</v>
      </c>
      <c r="J60" s="5">
        <f t="shared" si="1"/>
        <v>65.009000000000015</v>
      </c>
      <c r="K60" s="5">
        <f t="shared" si="2"/>
        <v>329.66024340770792</v>
      </c>
      <c r="L60" s="5">
        <f t="shared" si="3"/>
        <v>107.80024340770791</v>
      </c>
      <c r="M60" s="6">
        <f t="shared" si="4"/>
        <v>0.32700407635865802</v>
      </c>
      <c r="N60" s="6">
        <f t="shared" si="5"/>
        <v>-6.7295923641341959E-2</v>
      </c>
    </row>
    <row r="61" spans="1:14" x14ac:dyDescent="0.3">
      <c r="A61" s="4">
        <v>9</v>
      </c>
      <c r="B61" s="4" t="s">
        <v>84</v>
      </c>
      <c r="C61" s="5">
        <v>293.67</v>
      </c>
      <c r="D61" s="5">
        <v>53</v>
      </c>
      <c r="E61" s="5">
        <v>16</v>
      </c>
      <c r="F61" s="8">
        <v>30.33</v>
      </c>
      <c r="G61" s="5">
        <v>748.11</v>
      </c>
      <c r="H61" s="9">
        <v>0.1</v>
      </c>
      <c r="I61" s="5">
        <f t="shared" si="0"/>
        <v>673.29899999999998</v>
      </c>
      <c r="J61" s="5">
        <f t="shared" si="1"/>
        <v>74.811000000000035</v>
      </c>
      <c r="K61" s="5">
        <f t="shared" si="2"/>
        <v>379.36612576064908</v>
      </c>
      <c r="L61" s="5">
        <f t="shared" si="3"/>
        <v>85.696125760649068</v>
      </c>
      <c r="M61" s="6">
        <f t="shared" si="4"/>
        <v>0.22589293018406378</v>
      </c>
      <c r="N61" s="6">
        <f t="shared" si="5"/>
        <v>-7.7407069815936175E-2</v>
      </c>
    </row>
    <row r="62" spans="1:14" x14ac:dyDescent="0.3">
      <c r="A62" s="4">
        <v>9</v>
      </c>
      <c r="B62" s="4" t="s">
        <v>85</v>
      </c>
      <c r="C62" s="5">
        <v>212.35</v>
      </c>
      <c r="D62" s="5">
        <v>27</v>
      </c>
      <c r="E62" s="5">
        <v>16</v>
      </c>
      <c r="F62" s="8">
        <v>37.46</v>
      </c>
      <c r="G62" s="5">
        <v>498.24</v>
      </c>
      <c r="H62" s="9">
        <v>0.1</v>
      </c>
      <c r="I62" s="5">
        <f t="shared" si="0"/>
        <v>448.416</v>
      </c>
      <c r="J62" s="5">
        <f t="shared" si="1"/>
        <v>49.824000000000012</v>
      </c>
      <c r="K62" s="5">
        <f t="shared" si="2"/>
        <v>304.38229704045619</v>
      </c>
      <c r="L62" s="5">
        <f t="shared" si="3"/>
        <v>92.0322970404562</v>
      </c>
      <c r="M62" s="6">
        <f t="shared" si="4"/>
        <v>0.30235758759723125</v>
      </c>
      <c r="N62" s="6">
        <f t="shared" si="5"/>
        <v>-7.2242412402768741E-2</v>
      </c>
    </row>
    <row r="63" spans="1:14" x14ac:dyDescent="0.3">
      <c r="A63" s="4">
        <v>9</v>
      </c>
      <c r="B63" s="4" t="s">
        <v>86</v>
      </c>
      <c r="C63" s="5">
        <v>268</v>
      </c>
      <c r="D63" s="5">
        <v>53</v>
      </c>
      <c r="E63" s="5">
        <v>16</v>
      </c>
      <c r="F63" s="8">
        <v>35.64</v>
      </c>
      <c r="G63" s="5">
        <v>739.04</v>
      </c>
      <c r="H63" s="9">
        <v>0.1</v>
      </c>
      <c r="I63" s="5">
        <f t="shared" si="0"/>
        <v>665.13599999999997</v>
      </c>
      <c r="J63" s="5">
        <f t="shared" si="1"/>
        <v>73.903999999999996</v>
      </c>
      <c r="K63" s="5">
        <f t="shared" si="2"/>
        <v>374.76673427991886</v>
      </c>
      <c r="L63" s="5">
        <f t="shared" si="3"/>
        <v>106.76673427991886</v>
      </c>
      <c r="M63" s="6">
        <f t="shared" si="4"/>
        <v>0.28488850400519594</v>
      </c>
      <c r="N63" s="6">
        <f t="shared" si="5"/>
        <v>-7.1511495994804053E-2</v>
      </c>
    </row>
    <row r="64" spans="1:14" x14ac:dyDescent="0.3">
      <c r="A64" s="4">
        <v>9</v>
      </c>
      <c r="B64" s="4" t="s">
        <v>87</v>
      </c>
      <c r="C64" s="5">
        <v>397.27</v>
      </c>
      <c r="D64" s="5">
        <v>53</v>
      </c>
      <c r="E64" s="5">
        <v>16</v>
      </c>
      <c r="F64" s="8">
        <v>35.85</v>
      </c>
      <c r="G64" s="5">
        <v>1099.0999999999999</v>
      </c>
      <c r="H64" s="9">
        <v>0.1</v>
      </c>
      <c r="I64" s="5">
        <f t="shared" si="0"/>
        <v>989.18999999999994</v>
      </c>
      <c r="J64" s="5">
        <f t="shared" si="1"/>
        <v>109.90999999999997</v>
      </c>
      <c r="K64" s="5">
        <f t="shared" si="2"/>
        <v>557.35294117647061</v>
      </c>
      <c r="L64" s="5">
        <f t="shared" si="3"/>
        <v>160.08294117647063</v>
      </c>
      <c r="M64" s="6">
        <f t="shared" si="4"/>
        <v>0.2872200527704486</v>
      </c>
      <c r="N64" s="6">
        <f t="shared" si="5"/>
        <v>-7.1279947229551444E-2</v>
      </c>
    </row>
    <row r="65" spans="1:14" x14ac:dyDescent="0.3">
      <c r="A65" s="4">
        <v>9</v>
      </c>
      <c r="B65" s="4" t="s">
        <v>88</v>
      </c>
      <c r="C65" s="5">
        <v>146.5</v>
      </c>
      <c r="D65" s="5">
        <v>27</v>
      </c>
      <c r="E65" s="5">
        <v>16</v>
      </c>
      <c r="F65" s="8">
        <v>31.01</v>
      </c>
      <c r="G65" s="5">
        <v>311.60000000000002</v>
      </c>
      <c r="H65" s="9">
        <v>0.1</v>
      </c>
      <c r="I65" s="5">
        <f t="shared" si="0"/>
        <v>280.44000000000005</v>
      </c>
      <c r="J65" s="5">
        <f t="shared" si="1"/>
        <v>31.159999999999968</v>
      </c>
      <c r="K65" s="5">
        <f t="shared" si="2"/>
        <v>190.36111865327186</v>
      </c>
      <c r="L65" s="5">
        <f t="shared" si="3"/>
        <v>43.861118653271859</v>
      </c>
      <c r="M65" s="6">
        <f t="shared" si="4"/>
        <v>0.23041006989017287</v>
      </c>
      <c r="N65" s="6">
        <f t="shared" si="5"/>
        <v>-7.9689930109827167E-2</v>
      </c>
    </row>
    <row r="66" spans="1:14" x14ac:dyDescent="0.3">
      <c r="A66" s="4">
        <v>9</v>
      </c>
      <c r="B66" s="4" t="s">
        <v>89</v>
      </c>
      <c r="C66" s="5">
        <v>80.56</v>
      </c>
      <c r="D66" s="5">
        <v>27</v>
      </c>
      <c r="E66" s="5">
        <v>16</v>
      </c>
      <c r="F66" s="8">
        <v>30.76</v>
      </c>
      <c r="G66" s="5">
        <v>170.73</v>
      </c>
      <c r="H66" s="9">
        <v>0.1</v>
      </c>
      <c r="I66" s="5">
        <f t="shared" ref="I66:I129" si="6">G66*(1-H66)</f>
        <v>153.65699999999998</v>
      </c>
      <c r="J66" s="5">
        <f t="shared" ref="J66:J129" si="7">G66-I66</f>
        <v>17.073000000000008</v>
      </c>
      <c r="K66" s="5">
        <f t="shared" ref="K66:K129" si="8">I66/((1+D66/100)*(1+E66/100))</f>
        <v>104.30152049959273</v>
      </c>
      <c r="L66" s="5">
        <f t="shared" ref="L66:L129" si="9">K66-C66</f>
        <v>23.741520499592724</v>
      </c>
      <c r="M66" s="6">
        <f t="shared" ref="M66:M129" si="10">IF(K66=0,0,L66/K66)</f>
        <v>0.22762391560423539</v>
      </c>
      <c r="N66" s="6">
        <f t="shared" ref="N66:N129" si="11">M66-F66/100</f>
        <v>-7.9976084395764646E-2</v>
      </c>
    </row>
    <row r="67" spans="1:14" x14ac:dyDescent="0.3">
      <c r="A67" s="4">
        <v>9</v>
      </c>
      <c r="B67" s="4" t="s">
        <v>90</v>
      </c>
      <c r="C67" s="5">
        <v>320.3</v>
      </c>
      <c r="D67" s="5">
        <v>27</v>
      </c>
      <c r="E67" s="5">
        <v>16</v>
      </c>
      <c r="F67" s="8">
        <v>30.81</v>
      </c>
      <c r="G67" s="5">
        <v>679.3</v>
      </c>
      <c r="H67" s="9">
        <v>0.1</v>
      </c>
      <c r="I67" s="5">
        <f t="shared" si="6"/>
        <v>611.37</v>
      </c>
      <c r="J67" s="5">
        <f t="shared" si="7"/>
        <v>67.92999999999995</v>
      </c>
      <c r="K67" s="5">
        <f t="shared" si="8"/>
        <v>414.99456964431175</v>
      </c>
      <c r="L67" s="5">
        <f t="shared" si="9"/>
        <v>94.694569644311741</v>
      </c>
      <c r="M67" s="6">
        <f t="shared" si="10"/>
        <v>0.22818267170453252</v>
      </c>
      <c r="N67" s="6">
        <f t="shared" si="11"/>
        <v>-7.9917328295467466E-2</v>
      </c>
    </row>
    <row r="68" spans="1:14" x14ac:dyDescent="0.3">
      <c r="A68" s="4">
        <v>9</v>
      </c>
      <c r="B68" s="4" t="s">
        <v>91</v>
      </c>
      <c r="C68" s="5">
        <v>74.39</v>
      </c>
      <c r="D68" s="5">
        <v>27</v>
      </c>
      <c r="E68" s="5">
        <v>16</v>
      </c>
      <c r="F68" s="8">
        <v>35.299999999999997</v>
      </c>
      <c r="G68" s="5">
        <v>168.72</v>
      </c>
      <c r="H68" s="9">
        <v>0.1</v>
      </c>
      <c r="I68" s="5">
        <f t="shared" si="6"/>
        <v>151.84800000000001</v>
      </c>
      <c r="J68" s="5">
        <f t="shared" si="7"/>
        <v>16.871999999999986</v>
      </c>
      <c r="K68" s="5">
        <f t="shared" si="8"/>
        <v>103.07358131957645</v>
      </c>
      <c r="L68" s="5">
        <f t="shared" si="9"/>
        <v>28.683581319576447</v>
      </c>
      <c r="M68" s="6">
        <f t="shared" si="10"/>
        <v>0.27828257204573004</v>
      </c>
      <c r="N68" s="6">
        <f t="shared" si="11"/>
        <v>-7.4717427954269944E-2</v>
      </c>
    </row>
    <row r="69" spans="1:14" x14ac:dyDescent="0.3">
      <c r="A69" s="4">
        <v>9</v>
      </c>
      <c r="B69" s="4" t="s">
        <v>92</v>
      </c>
      <c r="C69" s="5">
        <v>71.84</v>
      </c>
      <c r="D69" s="5">
        <v>27</v>
      </c>
      <c r="E69" s="5">
        <v>16</v>
      </c>
      <c r="F69" s="8">
        <v>31.88</v>
      </c>
      <c r="G69" s="5">
        <v>154.75</v>
      </c>
      <c r="H69" s="9">
        <v>0.1</v>
      </c>
      <c r="I69" s="5">
        <f t="shared" si="6"/>
        <v>139.27500000000001</v>
      </c>
      <c r="J69" s="5">
        <f t="shared" si="7"/>
        <v>15.474999999999994</v>
      </c>
      <c r="K69" s="5">
        <f t="shared" si="8"/>
        <v>94.53909856095575</v>
      </c>
      <c r="L69" s="5">
        <f t="shared" si="9"/>
        <v>22.699098560955747</v>
      </c>
      <c r="M69" s="6">
        <f t="shared" si="10"/>
        <v>0.24010276072518402</v>
      </c>
      <c r="N69" s="6">
        <f t="shared" si="11"/>
        <v>-7.869723927481595E-2</v>
      </c>
    </row>
    <row r="70" spans="1:14" x14ac:dyDescent="0.3">
      <c r="A70" s="4">
        <v>9</v>
      </c>
      <c r="B70" s="4" t="s">
        <v>93</v>
      </c>
      <c r="C70" s="5">
        <v>503.15</v>
      </c>
      <c r="D70" s="5">
        <v>53</v>
      </c>
      <c r="E70" s="5">
        <v>16</v>
      </c>
      <c r="F70" s="8">
        <v>36.22</v>
      </c>
      <c r="G70" s="5">
        <v>1400.1</v>
      </c>
      <c r="H70" s="9">
        <v>0.1</v>
      </c>
      <c r="I70" s="5">
        <f t="shared" si="6"/>
        <v>1260.0899999999999</v>
      </c>
      <c r="J70" s="5">
        <f t="shared" si="7"/>
        <v>140.01</v>
      </c>
      <c r="K70" s="5">
        <f t="shared" si="8"/>
        <v>709.98985801217032</v>
      </c>
      <c r="L70" s="5">
        <f t="shared" si="9"/>
        <v>206.83985801217034</v>
      </c>
      <c r="M70" s="6">
        <f t="shared" si="10"/>
        <v>0.29132790514963214</v>
      </c>
      <c r="N70" s="6">
        <f t="shared" si="11"/>
        <v>-7.0872094850367828E-2</v>
      </c>
    </row>
    <row r="71" spans="1:14" x14ac:dyDescent="0.3">
      <c r="A71" s="4">
        <v>9</v>
      </c>
      <c r="B71" s="4" t="s">
        <v>94</v>
      </c>
      <c r="C71" s="5">
        <v>89.21</v>
      </c>
      <c r="D71" s="5">
        <v>53</v>
      </c>
      <c r="E71" s="5">
        <v>16</v>
      </c>
      <c r="F71" s="8">
        <v>30</v>
      </c>
      <c r="G71" s="5">
        <v>226.18</v>
      </c>
      <c r="H71" s="9">
        <v>0.1</v>
      </c>
      <c r="I71" s="5">
        <f t="shared" si="6"/>
        <v>203.56200000000001</v>
      </c>
      <c r="J71" s="5">
        <f t="shared" si="7"/>
        <v>22.617999999999995</v>
      </c>
      <c r="K71" s="5">
        <f t="shared" si="8"/>
        <v>114.69574036511158</v>
      </c>
      <c r="L71" s="5">
        <f t="shared" si="9"/>
        <v>25.485740365111582</v>
      </c>
      <c r="M71" s="6">
        <f t="shared" si="10"/>
        <v>0.22220302414006557</v>
      </c>
      <c r="N71" s="6">
        <f t="shared" si="11"/>
        <v>-7.779697585993442E-2</v>
      </c>
    </row>
    <row r="72" spans="1:14" x14ac:dyDescent="0.3">
      <c r="A72" s="4">
        <v>9</v>
      </c>
      <c r="B72" s="4" t="s">
        <v>95</v>
      </c>
      <c r="C72" s="5">
        <v>75.42</v>
      </c>
      <c r="D72" s="5">
        <v>27</v>
      </c>
      <c r="E72" s="5">
        <v>16</v>
      </c>
      <c r="F72" s="8">
        <v>37.020000000000003</v>
      </c>
      <c r="G72" s="5">
        <v>175.72</v>
      </c>
      <c r="H72" s="9">
        <v>0.1</v>
      </c>
      <c r="I72" s="5">
        <f t="shared" si="6"/>
        <v>158.148</v>
      </c>
      <c r="J72" s="5">
        <f t="shared" si="7"/>
        <v>17.572000000000003</v>
      </c>
      <c r="K72" s="5">
        <f t="shared" si="8"/>
        <v>107.34998642411078</v>
      </c>
      <c r="L72" s="5">
        <f t="shared" si="9"/>
        <v>31.92998642411078</v>
      </c>
      <c r="M72" s="6">
        <f t="shared" si="10"/>
        <v>0.29743819713180059</v>
      </c>
      <c r="N72" s="6">
        <f t="shared" si="11"/>
        <v>-7.2761802868199443E-2</v>
      </c>
    </row>
    <row r="73" spans="1:14" x14ac:dyDescent="0.3">
      <c r="A73" s="4">
        <v>9</v>
      </c>
      <c r="B73" s="4" t="s">
        <v>96</v>
      </c>
      <c r="C73" s="5">
        <v>130.72</v>
      </c>
      <c r="D73" s="5">
        <v>53</v>
      </c>
      <c r="E73" s="5">
        <v>16</v>
      </c>
      <c r="F73" s="8">
        <v>32.56</v>
      </c>
      <c r="G73" s="5">
        <v>344.01</v>
      </c>
      <c r="H73" s="9">
        <v>0.1</v>
      </c>
      <c r="I73" s="5">
        <f t="shared" si="6"/>
        <v>309.60899999999998</v>
      </c>
      <c r="J73" s="5">
        <f t="shared" si="7"/>
        <v>34.40100000000001</v>
      </c>
      <c r="K73" s="5">
        <f t="shared" si="8"/>
        <v>174.44726166328601</v>
      </c>
      <c r="L73" s="5">
        <f t="shared" si="9"/>
        <v>43.727261663286015</v>
      </c>
      <c r="M73" s="6">
        <f t="shared" si="10"/>
        <v>0.25066178308770098</v>
      </c>
      <c r="N73" s="6">
        <f t="shared" si="11"/>
        <v>-7.4938216912299016E-2</v>
      </c>
    </row>
    <row r="74" spans="1:14" x14ac:dyDescent="0.3">
      <c r="A74" s="4">
        <v>9</v>
      </c>
      <c r="B74" s="4" t="s">
        <v>97</v>
      </c>
      <c r="C74" s="5">
        <v>304.56</v>
      </c>
      <c r="D74" s="5">
        <v>53</v>
      </c>
      <c r="E74" s="5">
        <v>16</v>
      </c>
      <c r="F74" s="8">
        <v>34.880000000000003</v>
      </c>
      <c r="G74" s="5">
        <v>830.06</v>
      </c>
      <c r="H74" s="9">
        <v>0.1</v>
      </c>
      <c r="I74" s="5">
        <f t="shared" si="6"/>
        <v>747.05399999999997</v>
      </c>
      <c r="J74" s="5">
        <f t="shared" si="7"/>
        <v>83.005999999999972</v>
      </c>
      <c r="K74" s="5">
        <f t="shared" si="8"/>
        <v>420.92292089249491</v>
      </c>
      <c r="L74" s="5">
        <f t="shared" si="9"/>
        <v>116.36292089249491</v>
      </c>
      <c r="M74" s="6">
        <f t="shared" si="10"/>
        <v>0.27644710020962338</v>
      </c>
      <c r="N74" s="6">
        <f t="shared" si="11"/>
        <v>-7.2352899790376624E-2</v>
      </c>
    </row>
    <row r="75" spans="1:14" x14ac:dyDescent="0.3">
      <c r="A75" s="4">
        <v>9</v>
      </c>
      <c r="B75" s="4" t="s">
        <v>98</v>
      </c>
      <c r="C75" s="5">
        <v>212.68</v>
      </c>
      <c r="D75" s="5">
        <v>27</v>
      </c>
      <c r="E75" s="5">
        <v>16</v>
      </c>
      <c r="F75" s="8">
        <v>30.86</v>
      </c>
      <c r="G75" s="5">
        <v>451.39</v>
      </c>
      <c r="H75" s="9">
        <v>0.1</v>
      </c>
      <c r="I75" s="5">
        <f t="shared" si="6"/>
        <v>406.25099999999998</v>
      </c>
      <c r="J75" s="5">
        <f t="shared" si="7"/>
        <v>45.13900000000001</v>
      </c>
      <c r="K75" s="5">
        <f t="shared" si="8"/>
        <v>275.76092859082269</v>
      </c>
      <c r="L75" s="5">
        <f t="shared" si="9"/>
        <v>63.08092859082268</v>
      </c>
      <c r="M75" s="6">
        <f t="shared" si="10"/>
        <v>0.22875223445603821</v>
      </c>
      <c r="N75" s="6">
        <f t="shared" si="11"/>
        <v>-7.9847765543961779E-2</v>
      </c>
    </row>
    <row r="76" spans="1:14" x14ac:dyDescent="0.3">
      <c r="A76" s="4">
        <v>9</v>
      </c>
      <c r="B76" s="4" t="s">
        <v>99</v>
      </c>
      <c r="C76" s="5">
        <v>139.02000000000001</v>
      </c>
      <c r="D76" s="5">
        <v>27</v>
      </c>
      <c r="E76" s="5">
        <v>16</v>
      </c>
      <c r="F76" s="8">
        <v>30.03</v>
      </c>
      <c r="G76" s="5">
        <v>291.56</v>
      </c>
      <c r="H76" s="9">
        <v>0.1</v>
      </c>
      <c r="I76" s="5">
        <f t="shared" si="6"/>
        <v>262.404</v>
      </c>
      <c r="J76" s="5">
        <f t="shared" si="7"/>
        <v>29.156000000000006</v>
      </c>
      <c r="K76" s="5">
        <f t="shared" si="8"/>
        <v>178.1183817540049</v>
      </c>
      <c r="L76" s="5">
        <f t="shared" si="9"/>
        <v>39.09838175400489</v>
      </c>
      <c r="M76" s="6">
        <f t="shared" si="10"/>
        <v>0.21950784286824895</v>
      </c>
      <c r="N76" s="6">
        <f t="shared" si="11"/>
        <v>-8.0792157131751058E-2</v>
      </c>
    </row>
    <row r="77" spans="1:14" x14ac:dyDescent="0.3">
      <c r="A77" s="4">
        <v>9</v>
      </c>
      <c r="B77" s="4" t="s">
        <v>100</v>
      </c>
      <c r="C77" s="5">
        <v>130.11000000000001</v>
      </c>
      <c r="D77" s="5">
        <v>27</v>
      </c>
      <c r="E77" s="5">
        <v>16</v>
      </c>
      <c r="F77" s="8">
        <v>30.93</v>
      </c>
      <c r="G77" s="5">
        <v>276.41000000000003</v>
      </c>
      <c r="H77" s="9">
        <v>0.1</v>
      </c>
      <c r="I77" s="5">
        <f t="shared" si="6"/>
        <v>248.76900000000003</v>
      </c>
      <c r="J77" s="5">
        <f t="shared" si="7"/>
        <v>27.640999999999991</v>
      </c>
      <c r="K77" s="5">
        <f t="shared" si="8"/>
        <v>168.86301927776273</v>
      </c>
      <c r="L77" s="5">
        <f t="shared" si="9"/>
        <v>38.753019277762718</v>
      </c>
      <c r="M77" s="6">
        <f t="shared" si="10"/>
        <v>0.22949381956755072</v>
      </c>
      <c r="N77" s="6">
        <f t="shared" si="11"/>
        <v>-7.9806180432449303E-2</v>
      </c>
    </row>
    <row r="78" spans="1:14" x14ac:dyDescent="0.3">
      <c r="A78" s="4">
        <v>9</v>
      </c>
      <c r="B78" s="4" t="s">
        <v>101</v>
      </c>
      <c r="C78" s="5">
        <v>214.34</v>
      </c>
      <c r="D78" s="5">
        <v>27</v>
      </c>
      <c r="E78" s="5">
        <v>16</v>
      </c>
      <c r="F78" s="8">
        <v>30.83</v>
      </c>
      <c r="G78" s="5">
        <v>454.7</v>
      </c>
      <c r="H78" s="9">
        <v>0.1</v>
      </c>
      <c r="I78" s="5">
        <f t="shared" si="6"/>
        <v>409.23</v>
      </c>
      <c r="J78" s="5">
        <f t="shared" si="7"/>
        <v>45.46999999999997</v>
      </c>
      <c r="K78" s="5">
        <f t="shared" si="8"/>
        <v>277.78305729025254</v>
      </c>
      <c r="L78" s="5">
        <f t="shared" si="9"/>
        <v>63.44305729025254</v>
      </c>
      <c r="M78" s="6">
        <f t="shared" si="10"/>
        <v>0.22839066539598765</v>
      </c>
      <c r="N78" s="6">
        <f t="shared" si="11"/>
        <v>-7.9909334604012311E-2</v>
      </c>
    </row>
    <row r="79" spans="1:14" x14ac:dyDescent="0.3">
      <c r="A79" s="4">
        <v>9</v>
      </c>
      <c r="B79" s="4" t="s">
        <v>102</v>
      </c>
      <c r="C79" s="5">
        <v>122.5</v>
      </c>
      <c r="D79" s="5">
        <v>27</v>
      </c>
      <c r="E79" s="5">
        <v>16</v>
      </c>
      <c r="F79" s="8">
        <v>33.81</v>
      </c>
      <c r="G79" s="5">
        <v>271.57</v>
      </c>
      <c r="H79" s="9">
        <v>0.1</v>
      </c>
      <c r="I79" s="5">
        <f t="shared" si="6"/>
        <v>244.41300000000001</v>
      </c>
      <c r="J79" s="5">
        <f t="shared" si="7"/>
        <v>27.156999999999982</v>
      </c>
      <c r="K79" s="5">
        <f t="shared" si="8"/>
        <v>165.90619060548468</v>
      </c>
      <c r="L79" s="5">
        <f t="shared" si="9"/>
        <v>43.406190605484682</v>
      </c>
      <c r="M79" s="6">
        <f t="shared" si="10"/>
        <v>0.26163092797846277</v>
      </c>
      <c r="N79" s="6">
        <f t="shared" si="11"/>
        <v>-7.6469072021537243E-2</v>
      </c>
    </row>
    <row r="80" spans="1:14" x14ac:dyDescent="0.3">
      <c r="A80" s="4">
        <v>9</v>
      </c>
      <c r="B80" s="4" t="s">
        <v>103</v>
      </c>
      <c r="C80" s="5">
        <v>120.62</v>
      </c>
      <c r="D80" s="5">
        <v>27</v>
      </c>
      <c r="E80" s="5">
        <v>16</v>
      </c>
      <c r="F80" s="8">
        <v>31.81</v>
      </c>
      <c r="G80" s="5">
        <v>259.57</v>
      </c>
      <c r="H80" s="9">
        <v>0.1</v>
      </c>
      <c r="I80" s="5">
        <f t="shared" si="6"/>
        <v>233.613</v>
      </c>
      <c r="J80" s="5">
        <f t="shared" si="7"/>
        <v>25.956999999999994</v>
      </c>
      <c r="K80" s="5">
        <f t="shared" si="8"/>
        <v>158.57521042628295</v>
      </c>
      <c r="L80" s="5">
        <f t="shared" si="9"/>
        <v>37.955210426282946</v>
      </c>
      <c r="M80" s="6">
        <f t="shared" si="10"/>
        <v>0.23935147444705571</v>
      </c>
      <c r="N80" s="6">
        <f t="shared" si="11"/>
        <v>-7.8748525552944287E-2</v>
      </c>
    </row>
    <row r="81" spans="1:14" x14ac:dyDescent="0.3">
      <c r="A81" s="4">
        <v>9</v>
      </c>
      <c r="B81" s="4" t="s">
        <v>104</v>
      </c>
      <c r="C81" s="5">
        <v>224.2</v>
      </c>
      <c r="D81" s="5">
        <v>27</v>
      </c>
      <c r="E81" s="5">
        <v>16</v>
      </c>
      <c r="F81" s="8">
        <v>32.340000000000003</v>
      </c>
      <c r="G81" s="5">
        <v>486.24</v>
      </c>
      <c r="H81" s="9">
        <v>0.1</v>
      </c>
      <c r="I81" s="5">
        <f t="shared" si="6"/>
        <v>437.61600000000004</v>
      </c>
      <c r="J81" s="5">
        <f t="shared" si="7"/>
        <v>48.623999999999967</v>
      </c>
      <c r="K81" s="5">
        <f t="shared" si="8"/>
        <v>297.05131686125446</v>
      </c>
      <c r="L81" s="5">
        <f t="shared" si="9"/>
        <v>72.851316861254475</v>
      </c>
      <c r="M81" s="6">
        <f t="shared" si="10"/>
        <v>0.24524825417717833</v>
      </c>
      <c r="N81" s="6">
        <f t="shared" si="11"/>
        <v>-7.8151745822821694E-2</v>
      </c>
    </row>
    <row r="82" spans="1:14" x14ac:dyDescent="0.3">
      <c r="A82" s="4">
        <v>9</v>
      </c>
      <c r="B82" s="4" t="s">
        <v>105</v>
      </c>
      <c r="C82" s="5">
        <v>137.49</v>
      </c>
      <c r="D82" s="5">
        <v>27</v>
      </c>
      <c r="E82" s="5">
        <v>16</v>
      </c>
      <c r="F82" s="8">
        <v>33.53</v>
      </c>
      <c r="G82" s="5">
        <v>303.52999999999997</v>
      </c>
      <c r="H82" s="9">
        <v>0.1</v>
      </c>
      <c r="I82" s="5">
        <f t="shared" si="6"/>
        <v>273.17699999999996</v>
      </c>
      <c r="J82" s="5">
        <f t="shared" si="7"/>
        <v>30.353000000000009</v>
      </c>
      <c r="K82" s="5">
        <f t="shared" si="8"/>
        <v>185.43103448275861</v>
      </c>
      <c r="L82" s="5">
        <f t="shared" si="9"/>
        <v>47.941034482758596</v>
      </c>
      <c r="M82" s="6">
        <f t="shared" si="10"/>
        <v>0.25853835425383531</v>
      </c>
      <c r="N82" s="6">
        <f t="shared" si="11"/>
        <v>-7.6761645746164675E-2</v>
      </c>
    </row>
    <row r="83" spans="1:14" x14ac:dyDescent="0.3">
      <c r="A83" s="4">
        <v>9</v>
      </c>
      <c r="B83" s="4" t="s">
        <v>106</v>
      </c>
      <c r="C83" s="5">
        <v>241.56</v>
      </c>
      <c r="D83" s="5">
        <v>27</v>
      </c>
      <c r="E83" s="5">
        <v>16</v>
      </c>
      <c r="F83" s="8">
        <v>31.06</v>
      </c>
      <c r="G83" s="5">
        <v>514.16</v>
      </c>
      <c r="H83" s="9">
        <v>0.1</v>
      </c>
      <c r="I83" s="5">
        <f t="shared" si="6"/>
        <v>462.74399999999997</v>
      </c>
      <c r="J83" s="5">
        <f t="shared" si="7"/>
        <v>51.415999999999997</v>
      </c>
      <c r="K83" s="5">
        <f t="shared" si="8"/>
        <v>314.10806407819712</v>
      </c>
      <c r="L83" s="5">
        <f t="shared" si="9"/>
        <v>72.548064078197115</v>
      </c>
      <c r="M83" s="6">
        <f t="shared" si="10"/>
        <v>0.23096530262953163</v>
      </c>
      <c r="N83" s="6">
        <f t="shared" si="11"/>
        <v>-7.9634697370468355E-2</v>
      </c>
    </row>
    <row r="84" spans="1:14" x14ac:dyDescent="0.3">
      <c r="A84" s="4">
        <v>9</v>
      </c>
      <c r="B84" s="4" t="s">
        <v>107</v>
      </c>
      <c r="C84" s="5">
        <v>90.85</v>
      </c>
      <c r="D84" s="5">
        <v>53</v>
      </c>
      <c r="E84" s="5">
        <v>16</v>
      </c>
      <c r="F84" s="8">
        <v>37.74</v>
      </c>
      <c r="G84" s="5">
        <v>258.98</v>
      </c>
      <c r="H84" s="9">
        <v>0.1</v>
      </c>
      <c r="I84" s="5">
        <f t="shared" si="6"/>
        <v>233.08200000000002</v>
      </c>
      <c r="J84" s="5">
        <f t="shared" si="7"/>
        <v>25.897999999999996</v>
      </c>
      <c r="K84" s="5">
        <f t="shared" si="8"/>
        <v>131.32860040567954</v>
      </c>
      <c r="L84" s="5">
        <f t="shared" si="9"/>
        <v>40.478600405679543</v>
      </c>
      <c r="M84" s="6">
        <f t="shared" si="10"/>
        <v>0.30822380106571956</v>
      </c>
      <c r="N84" s="6">
        <f t="shared" si="11"/>
        <v>-6.9176198934280453E-2</v>
      </c>
    </row>
    <row r="85" spans="1:14" x14ac:dyDescent="0.3">
      <c r="A85" s="4">
        <v>9</v>
      </c>
      <c r="B85" s="4" t="s">
        <v>108</v>
      </c>
      <c r="C85" s="5">
        <v>236.94</v>
      </c>
      <c r="D85" s="5">
        <v>27</v>
      </c>
      <c r="E85" s="5">
        <v>16</v>
      </c>
      <c r="F85" s="8">
        <v>30.76</v>
      </c>
      <c r="G85" s="5">
        <v>502.14</v>
      </c>
      <c r="H85" s="9">
        <v>0.1</v>
      </c>
      <c r="I85" s="5">
        <f t="shared" si="6"/>
        <v>451.92599999999999</v>
      </c>
      <c r="J85" s="5">
        <f t="shared" si="7"/>
        <v>50.213999999999999</v>
      </c>
      <c r="K85" s="5">
        <f t="shared" si="8"/>
        <v>306.76486559869676</v>
      </c>
      <c r="L85" s="5">
        <f t="shared" si="9"/>
        <v>69.824865598696761</v>
      </c>
      <c r="M85" s="6">
        <f t="shared" si="10"/>
        <v>0.22761689303116009</v>
      </c>
      <c r="N85" s="6">
        <f t="shared" si="11"/>
        <v>-7.9983106968839951E-2</v>
      </c>
    </row>
    <row r="86" spans="1:14" x14ac:dyDescent="0.3">
      <c r="A86" s="4">
        <v>9</v>
      </c>
      <c r="B86" s="4" t="s">
        <v>109</v>
      </c>
      <c r="C86" s="5">
        <v>47.02</v>
      </c>
      <c r="D86" s="5">
        <v>27</v>
      </c>
      <c r="E86" s="5">
        <v>16</v>
      </c>
      <c r="F86" s="8">
        <v>30.19</v>
      </c>
      <c r="G86" s="5">
        <v>98.83</v>
      </c>
      <c r="H86" s="9">
        <v>0.1</v>
      </c>
      <c r="I86" s="5">
        <f t="shared" si="6"/>
        <v>88.947000000000003</v>
      </c>
      <c r="J86" s="5">
        <f t="shared" si="7"/>
        <v>9.8829999999999956</v>
      </c>
      <c r="K86" s="5">
        <f t="shared" si="8"/>
        <v>60.376730925875655</v>
      </c>
      <c r="L86" s="5">
        <f t="shared" si="9"/>
        <v>13.356730925875652</v>
      </c>
      <c r="M86" s="6">
        <f t="shared" si="10"/>
        <v>0.22122315536218207</v>
      </c>
      <c r="N86" s="6">
        <f t="shared" si="11"/>
        <v>-8.0676844637817935E-2</v>
      </c>
    </row>
    <row r="87" spans="1:14" x14ac:dyDescent="0.3">
      <c r="A87" s="4">
        <v>9</v>
      </c>
      <c r="B87" s="4" t="s">
        <v>110</v>
      </c>
      <c r="C87" s="5">
        <v>225.94</v>
      </c>
      <c r="D87" s="5">
        <v>53</v>
      </c>
      <c r="E87" s="5">
        <v>16</v>
      </c>
      <c r="F87" s="8">
        <v>36.049999999999997</v>
      </c>
      <c r="G87" s="5">
        <v>627.04999999999995</v>
      </c>
      <c r="H87" s="9">
        <v>0.1</v>
      </c>
      <c r="I87" s="5">
        <f t="shared" si="6"/>
        <v>564.34500000000003</v>
      </c>
      <c r="J87" s="5">
        <f t="shared" si="7"/>
        <v>62.704999999999927</v>
      </c>
      <c r="K87" s="5">
        <f t="shared" si="8"/>
        <v>317.9766734279919</v>
      </c>
      <c r="L87" s="5">
        <f t="shared" si="9"/>
        <v>92.0366734279919</v>
      </c>
      <c r="M87" s="6">
        <f t="shared" si="10"/>
        <v>0.28944473327485848</v>
      </c>
      <c r="N87" s="6">
        <f t="shared" si="11"/>
        <v>-7.1055266725141508E-2</v>
      </c>
    </row>
    <row r="88" spans="1:14" x14ac:dyDescent="0.3">
      <c r="A88" s="4">
        <v>9</v>
      </c>
      <c r="B88" s="4" t="s">
        <v>111</v>
      </c>
      <c r="C88" s="5">
        <v>300.5</v>
      </c>
      <c r="D88" s="5">
        <v>53</v>
      </c>
      <c r="E88" s="5">
        <v>16</v>
      </c>
      <c r="F88" s="8">
        <v>37.19</v>
      </c>
      <c r="G88" s="5">
        <v>849.12</v>
      </c>
      <c r="H88" s="9">
        <v>0.1</v>
      </c>
      <c r="I88" s="5">
        <f t="shared" si="6"/>
        <v>764.20799999999997</v>
      </c>
      <c r="J88" s="5">
        <f t="shared" si="7"/>
        <v>84.912000000000035</v>
      </c>
      <c r="K88" s="5">
        <f t="shared" si="8"/>
        <v>430.58823529411762</v>
      </c>
      <c r="L88" s="5">
        <f t="shared" si="9"/>
        <v>130.08823529411762</v>
      </c>
      <c r="M88" s="6">
        <f t="shared" si="10"/>
        <v>0.30211748633879776</v>
      </c>
      <c r="N88" s="6">
        <f t="shared" si="11"/>
        <v>-6.9782513661202195E-2</v>
      </c>
    </row>
    <row r="89" spans="1:14" x14ac:dyDescent="0.3">
      <c r="A89" s="4">
        <v>9</v>
      </c>
      <c r="B89" s="4" t="s">
        <v>112</v>
      </c>
      <c r="C89" s="5">
        <v>200.02</v>
      </c>
      <c r="D89" s="5">
        <v>53</v>
      </c>
      <c r="E89" s="5">
        <v>16</v>
      </c>
      <c r="F89" s="8">
        <v>39.159999999999997</v>
      </c>
      <c r="G89" s="5">
        <v>583.48</v>
      </c>
      <c r="H89" s="9">
        <v>0.1</v>
      </c>
      <c r="I89" s="5">
        <f t="shared" si="6"/>
        <v>525.13200000000006</v>
      </c>
      <c r="J89" s="5">
        <f t="shared" si="7"/>
        <v>58.347999999999956</v>
      </c>
      <c r="K89" s="5">
        <f t="shared" si="8"/>
        <v>295.88235294117652</v>
      </c>
      <c r="L89" s="5">
        <f t="shared" si="9"/>
        <v>95.862352941176511</v>
      </c>
      <c r="M89" s="6">
        <f t="shared" si="10"/>
        <v>0.32398807157057663</v>
      </c>
      <c r="N89" s="6">
        <f t="shared" si="11"/>
        <v>-6.7611928429423318E-2</v>
      </c>
    </row>
    <row r="90" spans="1:14" x14ac:dyDescent="0.3">
      <c r="A90" s="4">
        <v>9</v>
      </c>
      <c r="B90" s="4" t="s">
        <v>113</v>
      </c>
      <c r="C90" s="5">
        <v>878.97</v>
      </c>
      <c r="D90" s="5">
        <v>53</v>
      </c>
      <c r="E90" s="5">
        <v>16</v>
      </c>
      <c r="F90" s="8">
        <v>36.74</v>
      </c>
      <c r="G90" s="5">
        <v>2466.0100000000002</v>
      </c>
      <c r="H90" s="9">
        <v>0.1</v>
      </c>
      <c r="I90" s="5">
        <f t="shared" si="6"/>
        <v>2219.4090000000001</v>
      </c>
      <c r="J90" s="5">
        <f t="shared" si="7"/>
        <v>246.60100000000011</v>
      </c>
      <c r="K90" s="5">
        <f t="shared" si="8"/>
        <v>1250.5121703853956</v>
      </c>
      <c r="L90" s="5">
        <f t="shared" si="9"/>
        <v>371.54217038539559</v>
      </c>
      <c r="M90" s="6">
        <f t="shared" si="10"/>
        <v>0.29711199873479832</v>
      </c>
      <c r="N90" s="6">
        <f t="shared" si="11"/>
        <v>-7.0288001265201683E-2</v>
      </c>
    </row>
    <row r="91" spans="1:14" x14ac:dyDescent="0.3">
      <c r="A91" s="4">
        <v>9</v>
      </c>
      <c r="B91" s="4" t="s">
        <v>114</v>
      </c>
      <c r="C91" s="5">
        <v>83.11</v>
      </c>
      <c r="D91" s="5">
        <v>53</v>
      </c>
      <c r="E91" s="5">
        <v>16</v>
      </c>
      <c r="F91" s="8">
        <v>32.950000000000003</v>
      </c>
      <c r="G91" s="5">
        <v>219.99</v>
      </c>
      <c r="H91" s="9">
        <v>0.1</v>
      </c>
      <c r="I91" s="5">
        <f t="shared" si="6"/>
        <v>197.99100000000001</v>
      </c>
      <c r="J91" s="5">
        <f t="shared" si="7"/>
        <v>21.998999999999995</v>
      </c>
      <c r="K91" s="5">
        <f t="shared" si="8"/>
        <v>111.55679513184586</v>
      </c>
      <c r="L91" s="5">
        <f t="shared" si="9"/>
        <v>28.44679513184586</v>
      </c>
      <c r="M91" s="6">
        <f t="shared" si="10"/>
        <v>0.25499831810536855</v>
      </c>
      <c r="N91" s="6">
        <f t="shared" si="11"/>
        <v>-7.4501681894631466E-2</v>
      </c>
    </row>
    <row r="92" spans="1:14" x14ac:dyDescent="0.3">
      <c r="A92" s="4">
        <v>9</v>
      </c>
      <c r="B92" s="4" t="s">
        <v>115</v>
      </c>
      <c r="C92" s="5">
        <v>105.64</v>
      </c>
      <c r="D92" s="5">
        <v>53</v>
      </c>
      <c r="E92" s="5">
        <v>16</v>
      </c>
      <c r="F92" s="8">
        <v>37.29</v>
      </c>
      <c r="G92" s="5">
        <v>298.98</v>
      </c>
      <c r="H92" s="9">
        <v>0.1</v>
      </c>
      <c r="I92" s="5">
        <f t="shared" si="6"/>
        <v>269.08200000000005</v>
      </c>
      <c r="J92" s="5">
        <f t="shared" si="7"/>
        <v>29.897999999999968</v>
      </c>
      <c r="K92" s="5">
        <f t="shared" si="8"/>
        <v>151.61257606490875</v>
      </c>
      <c r="L92" s="5">
        <f t="shared" si="9"/>
        <v>45.97257606490875</v>
      </c>
      <c r="M92" s="6">
        <f t="shared" si="10"/>
        <v>0.30322402836310136</v>
      </c>
      <c r="N92" s="6">
        <f t="shared" si="11"/>
        <v>-6.9675971636898648E-2</v>
      </c>
    </row>
    <row r="93" spans="1:14" x14ac:dyDescent="0.3">
      <c r="A93" s="4">
        <v>9</v>
      </c>
      <c r="B93" s="4" t="s">
        <v>116</v>
      </c>
      <c r="C93" s="5">
        <v>105.64</v>
      </c>
      <c r="D93" s="5">
        <v>53</v>
      </c>
      <c r="E93" s="5">
        <v>16</v>
      </c>
      <c r="F93" s="8">
        <v>31.82</v>
      </c>
      <c r="G93" s="5">
        <v>274.99</v>
      </c>
      <c r="H93" s="9">
        <v>0.1</v>
      </c>
      <c r="I93" s="5">
        <f t="shared" si="6"/>
        <v>247.49100000000001</v>
      </c>
      <c r="J93" s="5">
        <f t="shared" si="7"/>
        <v>27.498999999999995</v>
      </c>
      <c r="K93" s="5">
        <f t="shared" si="8"/>
        <v>139.44726166328601</v>
      </c>
      <c r="L93" s="5">
        <f t="shared" si="9"/>
        <v>33.807261663286013</v>
      </c>
      <c r="M93" s="6">
        <f t="shared" si="10"/>
        <v>0.24243761591330598</v>
      </c>
      <c r="N93" s="6">
        <f t="shared" si="11"/>
        <v>-7.5762384086694001E-2</v>
      </c>
    </row>
    <row r="94" spans="1:14" x14ac:dyDescent="0.3">
      <c r="A94" s="4">
        <v>9</v>
      </c>
      <c r="B94" s="4" t="s">
        <v>117</v>
      </c>
      <c r="C94" s="5">
        <v>58.78</v>
      </c>
      <c r="D94" s="5">
        <v>27</v>
      </c>
      <c r="E94" s="5">
        <v>16</v>
      </c>
      <c r="F94" s="8">
        <v>36.11</v>
      </c>
      <c r="G94" s="5">
        <v>135</v>
      </c>
      <c r="H94" s="9">
        <v>0.1</v>
      </c>
      <c r="I94" s="5">
        <f t="shared" si="6"/>
        <v>121.5</v>
      </c>
      <c r="J94" s="5">
        <f t="shared" si="7"/>
        <v>13.5</v>
      </c>
      <c r="K94" s="5">
        <f t="shared" si="8"/>
        <v>82.47352701601956</v>
      </c>
      <c r="L94" s="5">
        <f t="shared" si="9"/>
        <v>23.693527016019559</v>
      </c>
      <c r="M94" s="6">
        <f t="shared" si="10"/>
        <v>0.28728645267489722</v>
      </c>
      <c r="N94" s="6">
        <f t="shared" si="11"/>
        <v>-7.3813547325102757E-2</v>
      </c>
    </row>
    <row r="95" spans="1:14" x14ac:dyDescent="0.3">
      <c r="A95" s="4">
        <v>9</v>
      </c>
      <c r="B95" s="4" t="s">
        <v>118</v>
      </c>
      <c r="C95" s="5">
        <v>115.47</v>
      </c>
      <c r="D95" s="5">
        <v>27</v>
      </c>
      <c r="E95" s="5">
        <v>16</v>
      </c>
      <c r="F95" s="8">
        <v>31.7</v>
      </c>
      <c r="G95" s="5">
        <v>248.08</v>
      </c>
      <c r="H95" s="9">
        <v>0.1</v>
      </c>
      <c r="I95" s="5">
        <f t="shared" si="6"/>
        <v>223.27200000000002</v>
      </c>
      <c r="J95" s="5">
        <f t="shared" si="7"/>
        <v>24.807999999999993</v>
      </c>
      <c r="K95" s="5">
        <f t="shared" si="8"/>
        <v>151.55579690469727</v>
      </c>
      <c r="L95" s="5">
        <f t="shared" si="9"/>
        <v>36.085796904697276</v>
      </c>
      <c r="M95" s="6">
        <f t="shared" si="10"/>
        <v>0.23810238632699138</v>
      </c>
      <c r="N95" s="6">
        <f t="shared" si="11"/>
        <v>-7.8897613673008626E-2</v>
      </c>
    </row>
    <row r="96" spans="1:14" x14ac:dyDescent="0.3">
      <c r="A96" s="4">
        <v>9</v>
      </c>
      <c r="B96" s="4" t="s">
        <v>119</v>
      </c>
      <c r="C96" s="5">
        <v>98.2</v>
      </c>
      <c r="D96" s="5">
        <v>53</v>
      </c>
      <c r="E96" s="5">
        <v>16</v>
      </c>
      <c r="F96" s="8">
        <v>36.39</v>
      </c>
      <c r="G96" s="5">
        <v>273.99</v>
      </c>
      <c r="H96" s="9">
        <v>0.1</v>
      </c>
      <c r="I96" s="5">
        <f t="shared" si="6"/>
        <v>246.59100000000001</v>
      </c>
      <c r="J96" s="5">
        <f t="shared" si="7"/>
        <v>27.399000000000001</v>
      </c>
      <c r="K96" s="5">
        <f t="shared" si="8"/>
        <v>138.94016227180529</v>
      </c>
      <c r="L96" s="5">
        <f t="shared" si="9"/>
        <v>40.740162271805289</v>
      </c>
      <c r="M96" s="6">
        <f t="shared" si="10"/>
        <v>0.29322092047155013</v>
      </c>
      <c r="N96" s="6">
        <f t="shared" si="11"/>
        <v>-7.0679079528449873E-2</v>
      </c>
    </row>
    <row r="97" spans="1:14" x14ac:dyDescent="0.3">
      <c r="A97" s="4">
        <v>9</v>
      </c>
      <c r="B97" s="4" t="s">
        <v>120</v>
      </c>
      <c r="C97" s="5">
        <v>374.81</v>
      </c>
      <c r="D97" s="5">
        <v>27</v>
      </c>
      <c r="E97" s="5">
        <v>16</v>
      </c>
      <c r="F97" s="8">
        <v>37.04</v>
      </c>
      <c r="G97" s="5">
        <v>873.56</v>
      </c>
      <c r="H97" s="9">
        <v>0.1</v>
      </c>
      <c r="I97" s="5">
        <f t="shared" si="6"/>
        <v>786.20399999999995</v>
      </c>
      <c r="J97" s="5">
        <f t="shared" si="7"/>
        <v>87.355999999999995</v>
      </c>
      <c r="K97" s="5">
        <f t="shared" si="8"/>
        <v>533.6709204452892</v>
      </c>
      <c r="L97" s="5">
        <f t="shared" si="9"/>
        <v>158.8609204452892</v>
      </c>
      <c r="M97" s="6">
        <f t="shared" si="10"/>
        <v>0.2976758042441911</v>
      </c>
      <c r="N97" s="6">
        <f t="shared" si="11"/>
        <v>-7.2724195755808907E-2</v>
      </c>
    </row>
    <row r="98" spans="1:14" x14ac:dyDescent="0.3">
      <c r="A98" s="4">
        <v>9</v>
      </c>
      <c r="B98" s="4" t="s">
        <v>121</v>
      </c>
      <c r="C98" s="5">
        <v>56.86</v>
      </c>
      <c r="D98" s="5">
        <v>27</v>
      </c>
      <c r="E98" s="5">
        <v>16</v>
      </c>
      <c r="F98" s="8">
        <v>33.25</v>
      </c>
      <c r="G98" s="5">
        <v>124.99</v>
      </c>
      <c r="H98" s="9">
        <v>0.1</v>
      </c>
      <c r="I98" s="5">
        <f t="shared" si="6"/>
        <v>112.491</v>
      </c>
      <c r="J98" s="5">
        <f t="shared" si="7"/>
        <v>12.498999999999995</v>
      </c>
      <c r="K98" s="5">
        <f t="shared" si="8"/>
        <v>76.358267716535437</v>
      </c>
      <c r="L98" s="5">
        <f t="shared" si="9"/>
        <v>19.498267716535437</v>
      </c>
      <c r="M98" s="6">
        <f t="shared" si="10"/>
        <v>0.25535241041505546</v>
      </c>
      <c r="N98" s="6">
        <f t="shared" si="11"/>
        <v>-7.7147589584944554E-2</v>
      </c>
    </row>
    <row r="99" spans="1:14" x14ac:dyDescent="0.3">
      <c r="A99" s="4">
        <v>9</v>
      </c>
      <c r="B99" s="4" t="s">
        <v>122</v>
      </c>
      <c r="C99" s="5">
        <v>177.71</v>
      </c>
      <c r="D99" s="5">
        <v>30</v>
      </c>
      <c r="E99" s="5">
        <v>16</v>
      </c>
      <c r="F99" s="8">
        <v>31.33</v>
      </c>
      <c r="G99" s="5">
        <v>390.26</v>
      </c>
      <c r="H99" s="9">
        <v>0.1</v>
      </c>
      <c r="I99" s="5">
        <f t="shared" si="6"/>
        <v>351.23399999999998</v>
      </c>
      <c r="J99" s="5">
        <f t="shared" si="7"/>
        <v>39.02600000000001</v>
      </c>
      <c r="K99" s="5">
        <f t="shared" si="8"/>
        <v>232.91379310344826</v>
      </c>
      <c r="L99" s="5">
        <f t="shared" si="9"/>
        <v>55.203793103448248</v>
      </c>
      <c r="M99" s="6">
        <f t="shared" si="10"/>
        <v>0.23701384262343614</v>
      </c>
      <c r="N99" s="6">
        <f t="shared" si="11"/>
        <v>-7.6286157376563829E-2</v>
      </c>
    </row>
    <row r="100" spans="1:14" x14ac:dyDescent="0.3">
      <c r="A100" s="4">
        <v>9</v>
      </c>
      <c r="B100" s="4" t="s">
        <v>123</v>
      </c>
      <c r="C100" s="5">
        <v>82.98</v>
      </c>
      <c r="D100" s="5">
        <v>27</v>
      </c>
      <c r="E100" s="5">
        <v>16</v>
      </c>
      <c r="F100" s="8">
        <v>36.15</v>
      </c>
      <c r="G100" s="5">
        <v>190.7</v>
      </c>
      <c r="H100" s="9">
        <v>0.1</v>
      </c>
      <c r="I100" s="5">
        <f t="shared" si="6"/>
        <v>171.63</v>
      </c>
      <c r="J100" s="5">
        <f t="shared" si="7"/>
        <v>19.069999999999993</v>
      </c>
      <c r="K100" s="5">
        <f t="shared" si="8"/>
        <v>116.50149334781429</v>
      </c>
      <c r="L100" s="5">
        <f t="shared" si="9"/>
        <v>33.521493347814285</v>
      </c>
      <c r="M100" s="6">
        <f t="shared" si="10"/>
        <v>0.28773445201887782</v>
      </c>
      <c r="N100" s="6">
        <f t="shared" si="11"/>
        <v>-7.376554798112217E-2</v>
      </c>
    </row>
    <row r="101" spans="1:14" x14ac:dyDescent="0.3">
      <c r="A101" s="4">
        <v>9</v>
      </c>
      <c r="B101" s="4" t="s">
        <v>124</v>
      </c>
      <c r="C101" s="5">
        <v>82.98</v>
      </c>
      <c r="D101" s="5">
        <v>27</v>
      </c>
      <c r="E101" s="5">
        <v>16</v>
      </c>
      <c r="F101" s="8">
        <v>35.770000000000003</v>
      </c>
      <c r="G101" s="5">
        <v>189.57</v>
      </c>
      <c r="H101" s="9">
        <v>0.1</v>
      </c>
      <c r="I101" s="5">
        <f t="shared" si="6"/>
        <v>170.613</v>
      </c>
      <c r="J101" s="5">
        <f t="shared" si="7"/>
        <v>18.956999999999994</v>
      </c>
      <c r="K101" s="5">
        <f t="shared" si="8"/>
        <v>115.81115938093946</v>
      </c>
      <c r="L101" s="5">
        <f t="shared" si="9"/>
        <v>32.831159380939454</v>
      </c>
      <c r="M101" s="6">
        <f t="shared" si="10"/>
        <v>0.28348873766946248</v>
      </c>
      <c r="N101" s="6">
        <f t="shared" si="11"/>
        <v>-7.4211262330537542E-2</v>
      </c>
    </row>
    <row r="102" spans="1:14" x14ac:dyDescent="0.3">
      <c r="A102" s="4">
        <v>9</v>
      </c>
      <c r="B102" s="4" t="s">
        <v>125</v>
      </c>
      <c r="C102" s="5">
        <v>82.98</v>
      </c>
      <c r="D102" s="5">
        <v>27</v>
      </c>
      <c r="E102" s="5">
        <v>16</v>
      </c>
      <c r="F102" s="8">
        <v>36.15</v>
      </c>
      <c r="G102" s="5">
        <v>190.7</v>
      </c>
      <c r="H102" s="9">
        <v>0.1</v>
      </c>
      <c r="I102" s="5">
        <f t="shared" si="6"/>
        <v>171.63</v>
      </c>
      <c r="J102" s="5">
        <f t="shared" si="7"/>
        <v>19.069999999999993</v>
      </c>
      <c r="K102" s="5">
        <f t="shared" si="8"/>
        <v>116.50149334781429</v>
      </c>
      <c r="L102" s="5">
        <f t="shared" si="9"/>
        <v>33.521493347814285</v>
      </c>
      <c r="M102" s="6">
        <f t="shared" si="10"/>
        <v>0.28773445201887782</v>
      </c>
      <c r="N102" s="6">
        <f t="shared" si="11"/>
        <v>-7.376554798112217E-2</v>
      </c>
    </row>
    <row r="103" spans="1:14" x14ac:dyDescent="0.3">
      <c r="A103" s="4">
        <v>9</v>
      </c>
      <c r="B103" s="4" t="s">
        <v>126</v>
      </c>
      <c r="C103" s="5">
        <v>82.98</v>
      </c>
      <c r="D103" s="5">
        <v>27</v>
      </c>
      <c r="E103" s="5">
        <v>16</v>
      </c>
      <c r="F103" s="8">
        <v>35.770000000000003</v>
      </c>
      <c r="G103" s="5">
        <v>189.57</v>
      </c>
      <c r="H103" s="9">
        <v>0.1</v>
      </c>
      <c r="I103" s="5">
        <f t="shared" si="6"/>
        <v>170.613</v>
      </c>
      <c r="J103" s="5">
        <f t="shared" si="7"/>
        <v>18.956999999999994</v>
      </c>
      <c r="K103" s="5">
        <f t="shared" si="8"/>
        <v>115.81115938093946</v>
      </c>
      <c r="L103" s="5">
        <f t="shared" si="9"/>
        <v>32.831159380939454</v>
      </c>
      <c r="M103" s="6">
        <f t="shared" si="10"/>
        <v>0.28348873766946248</v>
      </c>
      <c r="N103" s="6">
        <f t="shared" si="11"/>
        <v>-7.4211262330537542E-2</v>
      </c>
    </row>
    <row r="104" spans="1:14" x14ac:dyDescent="0.3">
      <c r="A104" s="4">
        <v>9</v>
      </c>
      <c r="B104" s="4" t="s">
        <v>127</v>
      </c>
      <c r="C104" s="5">
        <v>20.48</v>
      </c>
      <c r="D104" s="5">
        <v>27</v>
      </c>
      <c r="E104" s="5">
        <v>16</v>
      </c>
      <c r="F104" s="8">
        <v>30.79</v>
      </c>
      <c r="G104" s="5">
        <v>43.42</v>
      </c>
      <c r="H104" s="9">
        <v>0.1</v>
      </c>
      <c r="I104" s="5">
        <f t="shared" si="6"/>
        <v>39.078000000000003</v>
      </c>
      <c r="J104" s="5">
        <f t="shared" si="7"/>
        <v>4.3419999999999987</v>
      </c>
      <c r="K104" s="5">
        <f t="shared" si="8"/>
        <v>26.525929948411626</v>
      </c>
      <c r="L104" s="5">
        <f t="shared" si="9"/>
        <v>6.0459299484116258</v>
      </c>
      <c r="M104" s="6">
        <f t="shared" si="10"/>
        <v>0.22792527764982867</v>
      </c>
      <c r="N104" s="6">
        <f t="shared" si="11"/>
        <v>-7.9974722350171334E-2</v>
      </c>
    </row>
    <row r="105" spans="1:14" x14ac:dyDescent="0.3">
      <c r="A105" s="4">
        <v>9</v>
      </c>
      <c r="B105" s="4" t="s">
        <v>128</v>
      </c>
      <c r="C105" s="5">
        <v>20.48</v>
      </c>
      <c r="D105" s="5">
        <v>27</v>
      </c>
      <c r="E105" s="5">
        <v>16</v>
      </c>
      <c r="F105" s="8">
        <v>31.67</v>
      </c>
      <c r="G105" s="5">
        <v>43.98</v>
      </c>
      <c r="H105" s="9">
        <v>0.1</v>
      </c>
      <c r="I105" s="5">
        <f t="shared" si="6"/>
        <v>39.582000000000001</v>
      </c>
      <c r="J105" s="5">
        <f t="shared" si="7"/>
        <v>4.3979999999999961</v>
      </c>
      <c r="K105" s="5">
        <f t="shared" si="8"/>
        <v>26.868042356774371</v>
      </c>
      <c r="L105" s="5">
        <f t="shared" si="9"/>
        <v>6.3880423567743705</v>
      </c>
      <c r="M105" s="6">
        <f t="shared" si="10"/>
        <v>0.23775615178616546</v>
      </c>
      <c r="N105" s="6">
        <f t="shared" si="11"/>
        <v>-7.8943848213834572E-2</v>
      </c>
    </row>
    <row r="106" spans="1:14" x14ac:dyDescent="0.3">
      <c r="A106" s="4">
        <v>9</v>
      </c>
      <c r="B106" s="4" t="s">
        <v>129</v>
      </c>
      <c r="C106" s="5">
        <v>69.16</v>
      </c>
      <c r="D106" s="5">
        <v>27</v>
      </c>
      <c r="E106" s="5">
        <v>16</v>
      </c>
      <c r="F106" s="8">
        <v>32.229999999999997</v>
      </c>
      <c r="G106" s="5">
        <v>149.75</v>
      </c>
      <c r="H106" s="9">
        <v>0.1</v>
      </c>
      <c r="I106" s="5">
        <f t="shared" si="6"/>
        <v>134.77500000000001</v>
      </c>
      <c r="J106" s="5">
        <f t="shared" si="7"/>
        <v>14.974999999999994</v>
      </c>
      <c r="K106" s="5">
        <f t="shared" si="8"/>
        <v>91.484523486288367</v>
      </c>
      <c r="L106" s="5">
        <f t="shared" si="9"/>
        <v>22.324523486288371</v>
      </c>
      <c r="M106" s="6">
        <f t="shared" si="10"/>
        <v>0.24402513819328528</v>
      </c>
      <c r="N106" s="6">
        <f t="shared" si="11"/>
        <v>-7.8274861806714696E-2</v>
      </c>
    </row>
    <row r="107" spans="1:14" x14ac:dyDescent="0.3">
      <c r="A107" s="4">
        <v>9</v>
      </c>
      <c r="B107" s="4" t="s">
        <v>130</v>
      </c>
      <c r="C107" s="5">
        <v>272.7</v>
      </c>
      <c r="D107" s="5">
        <v>53</v>
      </c>
      <c r="E107" s="5">
        <v>16</v>
      </c>
      <c r="F107" s="8">
        <v>37.299999999999997</v>
      </c>
      <c r="G107" s="5">
        <v>771.91</v>
      </c>
      <c r="H107" s="9">
        <v>0.1</v>
      </c>
      <c r="I107" s="5">
        <f t="shared" si="6"/>
        <v>694.71899999999994</v>
      </c>
      <c r="J107" s="5">
        <f t="shared" si="7"/>
        <v>77.191000000000031</v>
      </c>
      <c r="K107" s="5">
        <f t="shared" si="8"/>
        <v>391.43509127789042</v>
      </c>
      <c r="L107" s="5">
        <f t="shared" si="9"/>
        <v>118.73509127789043</v>
      </c>
      <c r="M107" s="6">
        <f t="shared" si="10"/>
        <v>0.30333277195527969</v>
      </c>
      <c r="N107" s="6">
        <f t="shared" si="11"/>
        <v>-6.9667228044720308E-2</v>
      </c>
    </row>
    <row r="108" spans="1:14" x14ac:dyDescent="0.3">
      <c r="A108" s="4">
        <v>9</v>
      </c>
      <c r="B108" s="4" t="s">
        <v>131</v>
      </c>
      <c r="C108" s="5">
        <v>240.75</v>
      </c>
      <c r="D108" s="5">
        <v>53</v>
      </c>
      <c r="E108" s="5">
        <v>16</v>
      </c>
      <c r="F108" s="8">
        <v>38.700000000000003</v>
      </c>
      <c r="G108" s="5">
        <v>697.03</v>
      </c>
      <c r="H108" s="9">
        <v>0.1</v>
      </c>
      <c r="I108" s="5">
        <f t="shared" si="6"/>
        <v>627.327</v>
      </c>
      <c r="J108" s="5">
        <f t="shared" si="7"/>
        <v>69.702999999999975</v>
      </c>
      <c r="K108" s="5">
        <f t="shared" si="8"/>
        <v>353.46348884381342</v>
      </c>
      <c r="L108" s="5">
        <f t="shared" si="9"/>
        <v>112.71348884381342</v>
      </c>
      <c r="M108" s="6">
        <f t="shared" si="10"/>
        <v>0.31888297490782325</v>
      </c>
      <c r="N108" s="6">
        <f t="shared" si="11"/>
        <v>-6.8117025092176764E-2</v>
      </c>
    </row>
    <row r="109" spans="1:14" x14ac:dyDescent="0.3">
      <c r="A109" s="4">
        <v>9</v>
      </c>
      <c r="B109" s="4" t="s">
        <v>132</v>
      </c>
      <c r="C109" s="5">
        <v>299.75</v>
      </c>
      <c r="D109" s="5">
        <v>53</v>
      </c>
      <c r="E109" s="5">
        <v>16</v>
      </c>
      <c r="F109" s="8">
        <v>30.91</v>
      </c>
      <c r="G109" s="5">
        <v>770</v>
      </c>
      <c r="H109" s="9">
        <v>0.1</v>
      </c>
      <c r="I109" s="5">
        <f t="shared" si="6"/>
        <v>693</v>
      </c>
      <c r="J109" s="5">
        <f t="shared" si="7"/>
        <v>77</v>
      </c>
      <c r="K109" s="5">
        <f t="shared" si="8"/>
        <v>390.46653144016227</v>
      </c>
      <c r="L109" s="5">
        <f t="shared" si="9"/>
        <v>90.716531440162271</v>
      </c>
      <c r="M109" s="6">
        <f t="shared" si="10"/>
        <v>0.23232857142857144</v>
      </c>
      <c r="N109" s="6">
        <f t="shared" si="11"/>
        <v>-7.6771428571428546E-2</v>
      </c>
    </row>
    <row r="110" spans="1:14" x14ac:dyDescent="0.3">
      <c r="A110" s="4">
        <v>9</v>
      </c>
      <c r="B110" s="4" t="s">
        <v>133</v>
      </c>
      <c r="C110" s="5">
        <v>103.19</v>
      </c>
      <c r="D110" s="5">
        <v>27</v>
      </c>
      <c r="E110" s="5">
        <v>16</v>
      </c>
      <c r="F110" s="8">
        <v>34.06</v>
      </c>
      <c r="G110" s="5">
        <v>229.63</v>
      </c>
      <c r="H110" s="9">
        <v>0.1</v>
      </c>
      <c r="I110" s="5">
        <f t="shared" si="6"/>
        <v>206.667</v>
      </c>
      <c r="J110" s="5">
        <f t="shared" si="7"/>
        <v>22.962999999999994</v>
      </c>
      <c r="K110" s="5">
        <f t="shared" si="8"/>
        <v>140.28441487917459</v>
      </c>
      <c r="L110" s="5">
        <f t="shared" si="9"/>
        <v>37.094414879174593</v>
      </c>
      <c r="M110" s="6">
        <f t="shared" si="10"/>
        <v>0.26442292189851313</v>
      </c>
      <c r="N110" s="6">
        <f t="shared" si="11"/>
        <v>-7.6177078101486884E-2</v>
      </c>
    </row>
    <row r="111" spans="1:14" x14ac:dyDescent="0.3">
      <c r="A111" s="4">
        <v>9</v>
      </c>
      <c r="B111" s="4" t="s">
        <v>134</v>
      </c>
      <c r="C111" s="5">
        <v>323.98</v>
      </c>
      <c r="D111" s="5">
        <v>53</v>
      </c>
      <c r="E111" s="5">
        <v>16</v>
      </c>
      <c r="F111" s="8">
        <v>39.450000000000003</v>
      </c>
      <c r="G111" s="5">
        <v>949.62</v>
      </c>
      <c r="H111" s="9">
        <v>0.1</v>
      </c>
      <c r="I111" s="5">
        <f t="shared" si="6"/>
        <v>854.65800000000002</v>
      </c>
      <c r="J111" s="5">
        <f t="shared" si="7"/>
        <v>94.961999999999989</v>
      </c>
      <c r="K111" s="5">
        <f t="shared" si="8"/>
        <v>481.55172413793105</v>
      </c>
      <c r="L111" s="5">
        <f t="shared" si="9"/>
        <v>157.57172413793103</v>
      </c>
      <c r="M111" s="6">
        <f t="shared" si="10"/>
        <v>0.32721661296097382</v>
      </c>
      <c r="N111" s="6">
        <f t="shared" si="11"/>
        <v>-6.7283387039026199E-2</v>
      </c>
    </row>
    <row r="112" spans="1:14" x14ac:dyDescent="0.3">
      <c r="A112" s="4">
        <v>9</v>
      </c>
      <c r="B112" s="4" t="s">
        <v>135</v>
      </c>
      <c r="C112" s="5">
        <v>203.73</v>
      </c>
      <c r="D112" s="5">
        <v>27</v>
      </c>
      <c r="E112" s="5">
        <v>16</v>
      </c>
      <c r="F112" s="8">
        <v>33.61</v>
      </c>
      <c r="G112" s="5">
        <v>450.3</v>
      </c>
      <c r="H112" s="9">
        <v>0.1</v>
      </c>
      <c r="I112" s="5">
        <f t="shared" si="6"/>
        <v>405.27000000000004</v>
      </c>
      <c r="J112" s="5">
        <f t="shared" si="7"/>
        <v>45.029999999999973</v>
      </c>
      <c r="K112" s="5">
        <f t="shared" si="8"/>
        <v>275.09503122454527</v>
      </c>
      <c r="L112" s="5">
        <f t="shared" si="9"/>
        <v>71.365031224545277</v>
      </c>
      <c r="M112" s="6">
        <f t="shared" si="10"/>
        <v>0.25941955733214911</v>
      </c>
      <c r="N112" s="6">
        <f t="shared" si="11"/>
        <v>-7.6680442667850901E-2</v>
      </c>
    </row>
    <row r="113" spans="1:14" x14ac:dyDescent="0.3">
      <c r="A113" s="4">
        <v>9</v>
      </c>
      <c r="B113" s="4" t="s">
        <v>136</v>
      </c>
      <c r="C113" s="5">
        <v>152.82</v>
      </c>
      <c r="D113" s="5">
        <v>27</v>
      </c>
      <c r="E113" s="5">
        <v>16</v>
      </c>
      <c r="F113" s="8">
        <v>31.82</v>
      </c>
      <c r="G113" s="5">
        <v>328.9</v>
      </c>
      <c r="H113" s="9">
        <v>0.1</v>
      </c>
      <c r="I113" s="5">
        <f t="shared" si="6"/>
        <v>296.01</v>
      </c>
      <c r="J113" s="5">
        <f t="shared" si="7"/>
        <v>32.889999999999986</v>
      </c>
      <c r="K113" s="5">
        <f t="shared" si="8"/>
        <v>200.92994841162098</v>
      </c>
      <c r="L113" s="5">
        <f t="shared" si="9"/>
        <v>48.109948411620991</v>
      </c>
      <c r="M113" s="6">
        <f t="shared" si="10"/>
        <v>0.23943642444512023</v>
      </c>
      <c r="N113" s="6">
        <f t="shared" si="11"/>
        <v>-7.8763575554879756E-2</v>
      </c>
    </row>
    <row r="114" spans="1:14" x14ac:dyDescent="0.3">
      <c r="A114" s="4">
        <v>9</v>
      </c>
      <c r="B114" s="4" t="s">
        <v>137</v>
      </c>
      <c r="C114" s="5">
        <v>73.81</v>
      </c>
      <c r="D114" s="5">
        <v>53</v>
      </c>
      <c r="E114" s="5">
        <v>16</v>
      </c>
      <c r="F114" s="8">
        <v>34.17</v>
      </c>
      <c r="G114" s="5">
        <v>198.99</v>
      </c>
      <c r="H114" s="9">
        <v>0.1</v>
      </c>
      <c r="I114" s="5">
        <f t="shared" si="6"/>
        <v>179.09100000000001</v>
      </c>
      <c r="J114" s="5">
        <f t="shared" si="7"/>
        <v>19.899000000000001</v>
      </c>
      <c r="K114" s="5">
        <f t="shared" si="8"/>
        <v>100.90770791075052</v>
      </c>
      <c r="L114" s="5">
        <f t="shared" si="9"/>
        <v>27.097707910750515</v>
      </c>
      <c r="M114" s="6">
        <f t="shared" si="10"/>
        <v>0.26853952459922614</v>
      </c>
      <c r="N114" s="6">
        <f t="shared" si="11"/>
        <v>-7.3160475400773861E-2</v>
      </c>
    </row>
    <row r="115" spans="1:14" x14ac:dyDescent="0.3">
      <c r="A115" s="4">
        <v>9</v>
      </c>
      <c r="B115" s="4" t="s">
        <v>138</v>
      </c>
      <c r="C115" s="5">
        <v>123.39</v>
      </c>
      <c r="D115" s="5">
        <v>53</v>
      </c>
      <c r="E115" s="5">
        <v>16</v>
      </c>
      <c r="F115" s="8">
        <v>37.25</v>
      </c>
      <c r="G115" s="5">
        <v>349</v>
      </c>
      <c r="H115" s="9">
        <v>0.1</v>
      </c>
      <c r="I115" s="5">
        <f t="shared" si="6"/>
        <v>314.10000000000002</v>
      </c>
      <c r="J115" s="5">
        <f t="shared" si="7"/>
        <v>34.899999999999977</v>
      </c>
      <c r="K115" s="5">
        <f t="shared" si="8"/>
        <v>176.97768762677487</v>
      </c>
      <c r="L115" s="5">
        <f t="shared" si="9"/>
        <v>53.587687626774866</v>
      </c>
      <c r="M115" s="6">
        <f t="shared" si="10"/>
        <v>0.30279346704871068</v>
      </c>
      <c r="N115" s="6">
        <f t="shared" si="11"/>
        <v>-6.9706532951289313E-2</v>
      </c>
    </row>
    <row r="116" spans="1:14" x14ac:dyDescent="0.3">
      <c r="A116" s="4">
        <v>9</v>
      </c>
      <c r="B116" s="4" t="s">
        <v>139</v>
      </c>
      <c r="C116" s="5">
        <v>119.45</v>
      </c>
      <c r="D116" s="5">
        <v>53</v>
      </c>
      <c r="E116" s="5">
        <v>16</v>
      </c>
      <c r="F116" s="8">
        <v>33.54</v>
      </c>
      <c r="G116" s="5">
        <v>318.98</v>
      </c>
      <c r="H116" s="9">
        <v>0.1</v>
      </c>
      <c r="I116" s="5">
        <f t="shared" si="6"/>
        <v>287.08200000000005</v>
      </c>
      <c r="J116" s="5">
        <f t="shared" si="7"/>
        <v>31.897999999999968</v>
      </c>
      <c r="K116" s="5">
        <f t="shared" si="8"/>
        <v>161.75456389452336</v>
      </c>
      <c r="L116" s="5">
        <f t="shared" si="9"/>
        <v>42.304563894523355</v>
      </c>
      <c r="M116" s="6">
        <f t="shared" si="10"/>
        <v>0.26153551946830533</v>
      </c>
      <c r="N116" s="6">
        <f t="shared" si="11"/>
        <v>-7.3864480531694643E-2</v>
      </c>
    </row>
    <row r="117" spans="1:14" x14ac:dyDescent="0.3">
      <c r="A117" s="4">
        <v>9</v>
      </c>
      <c r="B117" s="4" t="s">
        <v>140</v>
      </c>
      <c r="C117" s="5">
        <v>112.69</v>
      </c>
      <c r="D117" s="5">
        <v>53</v>
      </c>
      <c r="E117" s="5">
        <v>16</v>
      </c>
      <c r="F117" s="8">
        <v>36.06</v>
      </c>
      <c r="G117" s="5">
        <v>312.79000000000002</v>
      </c>
      <c r="H117" s="9">
        <v>0.1</v>
      </c>
      <c r="I117" s="5">
        <f t="shared" si="6"/>
        <v>281.51100000000002</v>
      </c>
      <c r="J117" s="5">
        <f t="shared" si="7"/>
        <v>31.278999999999996</v>
      </c>
      <c r="K117" s="5">
        <f t="shared" si="8"/>
        <v>158.61561866125763</v>
      </c>
      <c r="L117" s="5">
        <f t="shared" si="9"/>
        <v>45.92561866125763</v>
      </c>
      <c r="M117" s="6">
        <f t="shared" si="10"/>
        <v>0.28954033057322814</v>
      </c>
      <c r="N117" s="6">
        <f t="shared" si="11"/>
        <v>-7.1059669426771888E-2</v>
      </c>
    </row>
    <row r="118" spans="1:14" x14ac:dyDescent="0.3">
      <c r="A118" s="4">
        <v>9</v>
      </c>
      <c r="B118" s="4" t="s">
        <v>141</v>
      </c>
      <c r="C118" s="5">
        <v>108.18</v>
      </c>
      <c r="D118" s="5">
        <v>53</v>
      </c>
      <c r="E118" s="5">
        <v>16</v>
      </c>
      <c r="F118" s="8">
        <v>35.81</v>
      </c>
      <c r="G118" s="5">
        <v>299.11</v>
      </c>
      <c r="H118" s="9">
        <v>0.1</v>
      </c>
      <c r="I118" s="5">
        <f t="shared" si="6"/>
        <v>269.19900000000001</v>
      </c>
      <c r="J118" s="5">
        <f t="shared" si="7"/>
        <v>29.911000000000001</v>
      </c>
      <c r="K118" s="5">
        <f t="shared" si="8"/>
        <v>151.67849898580124</v>
      </c>
      <c r="L118" s="5">
        <f t="shared" si="9"/>
        <v>43.498498985801234</v>
      </c>
      <c r="M118" s="6">
        <f t="shared" si="10"/>
        <v>0.28678091671960154</v>
      </c>
      <c r="N118" s="6">
        <f t="shared" si="11"/>
        <v>-7.1319083280398488E-2</v>
      </c>
    </row>
    <row r="119" spans="1:14" x14ac:dyDescent="0.3">
      <c r="A119" s="4">
        <v>9</v>
      </c>
      <c r="B119" s="4" t="s">
        <v>142</v>
      </c>
      <c r="C119" s="5">
        <v>14.99</v>
      </c>
      <c r="D119" s="5">
        <v>27</v>
      </c>
      <c r="E119" s="5">
        <v>16</v>
      </c>
      <c r="F119" s="8">
        <v>36.130000000000003</v>
      </c>
      <c r="G119" s="5">
        <v>34.44</v>
      </c>
      <c r="H119" s="9">
        <v>0.1</v>
      </c>
      <c r="I119" s="5">
        <f t="shared" si="6"/>
        <v>30.995999999999999</v>
      </c>
      <c r="J119" s="5">
        <f t="shared" si="7"/>
        <v>3.4439999999999991</v>
      </c>
      <c r="K119" s="5">
        <f t="shared" si="8"/>
        <v>21.039913114308987</v>
      </c>
      <c r="L119" s="5">
        <f t="shared" si="9"/>
        <v>6.0499131143089873</v>
      </c>
      <c r="M119" s="6">
        <f t="shared" si="10"/>
        <v>0.28754458639824493</v>
      </c>
      <c r="N119" s="6">
        <f t="shared" si="11"/>
        <v>-7.3755413601755082E-2</v>
      </c>
    </row>
    <row r="120" spans="1:14" x14ac:dyDescent="0.3">
      <c r="A120" s="4">
        <v>9</v>
      </c>
      <c r="B120" s="4" t="s">
        <v>143</v>
      </c>
      <c r="C120" s="5">
        <v>728.77</v>
      </c>
      <c r="D120" s="5">
        <v>53</v>
      </c>
      <c r="E120" s="5">
        <v>16</v>
      </c>
      <c r="F120" s="8">
        <v>37.82</v>
      </c>
      <c r="G120" s="5">
        <v>2080.12</v>
      </c>
      <c r="H120" s="9">
        <v>0.1</v>
      </c>
      <c r="I120" s="5">
        <f t="shared" si="6"/>
        <v>1872.1079999999999</v>
      </c>
      <c r="J120" s="5">
        <f t="shared" si="7"/>
        <v>208.01199999999994</v>
      </c>
      <c r="K120" s="5">
        <f t="shared" si="8"/>
        <v>1054.8275862068965</v>
      </c>
      <c r="L120" s="5">
        <f t="shared" si="9"/>
        <v>326.05758620689653</v>
      </c>
      <c r="M120" s="6">
        <f t="shared" si="10"/>
        <v>0.30910983981693363</v>
      </c>
      <c r="N120" s="6">
        <f t="shared" si="11"/>
        <v>-6.9090160183066351E-2</v>
      </c>
    </row>
    <row r="121" spans="1:14" x14ac:dyDescent="0.3">
      <c r="A121" s="4">
        <v>9</v>
      </c>
      <c r="B121" s="4" t="s">
        <v>144</v>
      </c>
      <c r="C121" s="5">
        <v>420.04</v>
      </c>
      <c r="D121" s="5">
        <v>53</v>
      </c>
      <c r="E121" s="5">
        <v>16</v>
      </c>
      <c r="F121" s="8">
        <v>35.770000000000003</v>
      </c>
      <c r="G121" s="5">
        <v>1160.6500000000001</v>
      </c>
      <c r="H121" s="9">
        <v>0.1</v>
      </c>
      <c r="I121" s="5">
        <f t="shared" si="6"/>
        <v>1044.585</v>
      </c>
      <c r="J121" s="5">
        <f t="shared" si="7"/>
        <v>116.06500000000005</v>
      </c>
      <c r="K121" s="5">
        <f t="shared" si="8"/>
        <v>588.56490872210952</v>
      </c>
      <c r="L121" s="5">
        <f t="shared" si="9"/>
        <v>168.5249087221095</v>
      </c>
      <c r="M121" s="6">
        <f t="shared" si="10"/>
        <v>0.28633190022832028</v>
      </c>
      <c r="N121" s="6">
        <f t="shared" si="11"/>
        <v>-7.1368099771679738E-2</v>
      </c>
    </row>
    <row r="122" spans="1:14" x14ac:dyDescent="0.3">
      <c r="A122" s="4">
        <v>9</v>
      </c>
      <c r="B122" s="4" t="s">
        <v>145</v>
      </c>
      <c r="C122" s="5">
        <v>117.56</v>
      </c>
      <c r="D122" s="5">
        <v>27</v>
      </c>
      <c r="E122" s="5">
        <v>16</v>
      </c>
      <c r="F122" s="8">
        <v>35.94</v>
      </c>
      <c r="G122" s="5">
        <v>269.3</v>
      </c>
      <c r="H122" s="9">
        <v>0.1</v>
      </c>
      <c r="I122" s="5">
        <f t="shared" si="6"/>
        <v>242.37</v>
      </c>
      <c r="J122" s="5">
        <f t="shared" si="7"/>
        <v>26.930000000000007</v>
      </c>
      <c r="K122" s="5">
        <f t="shared" si="8"/>
        <v>164.51941352158568</v>
      </c>
      <c r="L122" s="5">
        <f t="shared" si="9"/>
        <v>46.959413521585674</v>
      </c>
      <c r="M122" s="6">
        <f t="shared" si="10"/>
        <v>0.28543387382926932</v>
      </c>
      <c r="N122" s="6">
        <f t="shared" si="11"/>
        <v>-7.3966126170730673E-2</v>
      </c>
    </row>
    <row r="123" spans="1:14" x14ac:dyDescent="0.3">
      <c r="A123" s="4">
        <v>9</v>
      </c>
      <c r="B123" s="4" t="s">
        <v>146</v>
      </c>
      <c r="C123" s="5">
        <v>78.12</v>
      </c>
      <c r="D123" s="5">
        <v>27</v>
      </c>
      <c r="E123" s="5">
        <v>16</v>
      </c>
      <c r="F123" s="8">
        <v>37.590000000000003</v>
      </c>
      <c r="G123" s="5">
        <v>183.67</v>
      </c>
      <c r="H123" s="9">
        <v>0.1</v>
      </c>
      <c r="I123" s="5">
        <f t="shared" si="6"/>
        <v>165.303</v>
      </c>
      <c r="J123" s="5">
        <f t="shared" si="7"/>
        <v>18.36699999999999</v>
      </c>
      <c r="K123" s="5">
        <f t="shared" si="8"/>
        <v>112.20676079283194</v>
      </c>
      <c r="L123" s="5">
        <f t="shared" si="9"/>
        <v>34.086760792831939</v>
      </c>
      <c r="M123" s="6">
        <f t="shared" si="10"/>
        <v>0.30378526705504444</v>
      </c>
      <c r="N123" s="6">
        <f t="shared" si="11"/>
        <v>-7.2114732944955573E-2</v>
      </c>
    </row>
    <row r="124" spans="1:14" x14ac:dyDescent="0.3">
      <c r="A124" s="4">
        <v>9</v>
      </c>
      <c r="B124" s="4" t="s">
        <v>147</v>
      </c>
      <c r="C124" s="5">
        <v>98.83</v>
      </c>
      <c r="D124" s="5">
        <v>27</v>
      </c>
      <c r="E124" s="5">
        <v>16</v>
      </c>
      <c r="F124" s="8">
        <v>35.64</v>
      </c>
      <c r="G124" s="5">
        <v>225.33</v>
      </c>
      <c r="H124" s="9">
        <v>0.1</v>
      </c>
      <c r="I124" s="5">
        <f t="shared" si="6"/>
        <v>202.79700000000003</v>
      </c>
      <c r="J124" s="5">
        <f t="shared" si="7"/>
        <v>22.532999999999987</v>
      </c>
      <c r="K124" s="5">
        <f t="shared" si="8"/>
        <v>137.65748031496065</v>
      </c>
      <c r="L124" s="5">
        <f t="shared" si="9"/>
        <v>38.827480314960653</v>
      </c>
      <c r="M124" s="6">
        <f t="shared" si="10"/>
        <v>0.28205863005863019</v>
      </c>
      <c r="N124" s="6">
        <f t="shared" si="11"/>
        <v>-7.4341369941369806E-2</v>
      </c>
    </row>
    <row r="125" spans="1:14" x14ac:dyDescent="0.3">
      <c r="A125" s="4">
        <v>9</v>
      </c>
      <c r="B125" s="4" t="s">
        <v>148</v>
      </c>
      <c r="C125" s="5">
        <v>235.1</v>
      </c>
      <c r="D125" s="5">
        <v>27</v>
      </c>
      <c r="E125" s="5">
        <v>16</v>
      </c>
      <c r="F125" s="8">
        <v>37.06</v>
      </c>
      <c r="G125" s="5">
        <v>548.12</v>
      </c>
      <c r="H125" s="9">
        <v>0.1</v>
      </c>
      <c r="I125" s="5">
        <f t="shared" si="6"/>
        <v>493.30799999999999</v>
      </c>
      <c r="J125" s="5">
        <f t="shared" si="7"/>
        <v>54.812000000000012</v>
      </c>
      <c r="K125" s="5">
        <f t="shared" si="8"/>
        <v>334.85473798533809</v>
      </c>
      <c r="L125" s="5">
        <f t="shared" si="9"/>
        <v>99.754737985338096</v>
      </c>
      <c r="M125" s="6">
        <f t="shared" si="10"/>
        <v>0.29790451401558471</v>
      </c>
      <c r="N125" s="6">
        <f t="shared" si="11"/>
        <v>-7.2695485984415331E-2</v>
      </c>
    </row>
    <row r="126" spans="1:14" x14ac:dyDescent="0.3">
      <c r="A126" s="4">
        <v>9</v>
      </c>
      <c r="B126" s="4" t="s">
        <v>149</v>
      </c>
      <c r="C126" s="5">
        <v>196.88</v>
      </c>
      <c r="D126" s="5">
        <v>27</v>
      </c>
      <c r="E126" s="5">
        <v>16</v>
      </c>
      <c r="F126" s="8">
        <v>32.159999999999997</v>
      </c>
      <c r="G126" s="5">
        <v>425.85</v>
      </c>
      <c r="H126" s="9">
        <v>0.1</v>
      </c>
      <c r="I126" s="5">
        <f t="shared" si="6"/>
        <v>383.26500000000004</v>
      </c>
      <c r="J126" s="5">
        <f t="shared" si="7"/>
        <v>42.58499999999998</v>
      </c>
      <c r="K126" s="5">
        <f t="shared" si="8"/>
        <v>260.15815910942172</v>
      </c>
      <c r="L126" s="5">
        <f t="shared" si="9"/>
        <v>63.278159109421722</v>
      </c>
      <c r="M126" s="6">
        <f t="shared" si="10"/>
        <v>0.24322957744641452</v>
      </c>
      <c r="N126" s="6">
        <f t="shared" si="11"/>
        <v>-7.8370422553585423E-2</v>
      </c>
    </row>
    <row r="127" spans="1:14" x14ac:dyDescent="0.3">
      <c r="A127" s="4">
        <v>9</v>
      </c>
      <c r="B127" s="4" t="s">
        <v>150</v>
      </c>
      <c r="C127" s="5">
        <v>293.89</v>
      </c>
      <c r="D127" s="5">
        <v>27</v>
      </c>
      <c r="E127" s="5">
        <v>16</v>
      </c>
      <c r="F127" s="8">
        <v>30.79</v>
      </c>
      <c r="G127" s="5">
        <v>623.12</v>
      </c>
      <c r="H127" s="9">
        <v>0.1</v>
      </c>
      <c r="I127" s="5">
        <f t="shared" si="6"/>
        <v>560.80799999999999</v>
      </c>
      <c r="J127" s="5">
        <f t="shared" si="7"/>
        <v>62.312000000000012</v>
      </c>
      <c r="K127" s="5">
        <f t="shared" si="8"/>
        <v>380.67336410534892</v>
      </c>
      <c r="L127" s="5">
        <f t="shared" si="9"/>
        <v>86.783364105348937</v>
      </c>
      <c r="M127" s="6">
        <f t="shared" si="10"/>
        <v>0.22797330280595149</v>
      </c>
      <c r="N127" s="6">
        <f t="shared" si="11"/>
        <v>-7.9926697194048518E-2</v>
      </c>
    </row>
    <row r="128" spans="1:14" x14ac:dyDescent="0.3">
      <c r="A128" s="4">
        <v>9</v>
      </c>
      <c r="B128" s="4" t="s">
        <v>151</v>
      </c>
      <c r="C128" s="5">
        <v>199.34</v>
      </c>
      <c r="D128" s="5">
        <v>27</v>
      </c>
      <c r="E128" s="5">
        <v>16</v>
      </c>
      <c r="F128" s="8">
        <v>36.67</v>
      </c>
      <c r="G128" s="5">
        <v>461.88</v>
      </c>
      <c r="H128" s="9">
        <v>0.1</v>
      </c>
      <c r="I128" s="5">
        <f t="shared" si="6"/>
        <v>415.69200000000001</v>
      </c>
      <c r="J128" s="5">
        <f t="shared" si="7"/>
        <v>46.187999999999988</v>
      </c>
      <c r="K128" s="5">
        <f t="shared" si="8"/>
        <v>282.16942709747491</v>
      </c>
      <c r="L128" s="5">
        <f t="shared" si="9"/>
        <v>82.829427097474905</v>
      </c>
      <c r="M128" s="6">
        <f t="shared" si="10"/>
        <v>0.29354500928572119</v>
      </c>
      <c r="N128" s="6">
        <f t="shared" si="11"/>
        <v>-7.3154990714278834E-2</v>
      </c>
    </row>
    <row r="129" spans="1:14" x14ac:dyDescent="0.3">
      <c r="A129" s="4">
        <v>9</v>
      </c>
      <c r="B129" s="4" t="s">
        <v>152</v>
      </c>
      <c r="C129" s="5">
        <v>76.069999999999993</v>
      </c>
      <c r="D129" s="5">
        <v>53</v>
      </c>
      <c r="E129" s="5">
        <v>16</v>
      </c>
      <c r="F129" s="8">
        <v>38.630000000000003</v>
      </c>
      <c r="G129" s="5">
        <v>219.99</v>
      </c>
      <c r="H129" s="9">
        <v>0.1</v>
      </c>
      <c r="I129" s="5">
        <f t="shared" si="6"/>
        <v>197.99100000000001</v>
      </c>
      <c r="J129" s="5">
        <f t="shared" si="7"/>
        <v>21.998999999999995</v>
      </c>
      <c r="K129" s="5">
        <f t="shared" si="8"/>
        <v>111.55679513184586</v>
      </c>
      <c r="L129" s="5">
        <f t="shared" si="9"/>
        <v>35.486795131845867</v>
      </c>
      <c r="M129" s="6">
        <f t="shared" si="10"/>
        <v>0.31810518659939108</v>
      </c>
      <c r="N129" s="6">
        <f t="shared" si="11"/>
        <v>-6.8194813400608956E-2</v>
      </c>
    </row>
    <row r="130" spans="1:14" x14ac:dyDescent="0.3">
      <c r="A130" s="4">
        <v>9</v>
      </c>
      <c r="B130" s="4" t="s">
        <v>153</v>
      </c>
      <c r="C130" s="5">
        <v>138</v>
      </c>
      <c r="D130" s="5">
        <v>30</v>
      </c>
      <c r="E130" s="5">
        <v>16</v>
      </c>
      <c r="F130" s="8">
        <v>30.26</v>
      </c>
      <c r="G130" s="5">
        <v>298.39999999999998</v>
      </c>
      <c r="H130" s="9">
        <v>0.1</v>
      </c>
      <c r="I130" s="5">
        <f t="shared" ref="I130:I193" si="12">G130*(1-H130)</f>
        <v>268.56</v>
      </c>
      <c r="J130" s="5">
        <f t="shared" ref="J130:J193" si="13">G130-I130</f>
        <v>29.839999999999975</v>
      </c>
      <c r="K130" s="5">
        <f t="shared" ref="K130:K193" si="14">I130/((1+D130/100)*(1+E130/100))</f>
        <v>178.09018567639257</v>
      </c>
      <c r="L130" s="5">
        <f t="shared" ref="L130:L193" si="15">K130-C130</f>
        <v>40.090185676392565</v>
      </c>
      <c r="M130" s="6">
        <f t="shared" ref="M130:M193" si="16">IF(K130=0,0,L130/K130)</f>
        <v>0.22511170688114385</v>
      </c>
      <c r="N130" s="6">
        <f t="shared" ref="N130:N193" si="17">M130-F130/100</f>
        <v>-7.7488293118856189E-2</v>
      </c>
    </row>
    <row r="131" spans="1:14" x14ac:dyDescent="0.3">
      <c r="A131" s="4">
        <v>9</v>
      </c>
      <c r="B131" s="4" t="s">
        <v>154</v>
      </c>
      <c r="C131" s="5">
        <v>44.2</v>
      </c>
      <c r="D131" s="5">
        <v>27</v>
      </c>
      <c r="E131" s="5">
        <v>16</v>
      </c>
      <c r="F131" s="8">
        <v>35.33</v>
      </c>
      <c r="G131" s="5">
        <v>100.3</v>
      </c>
      <c r="H131" s="9">
        <v>0.1</v>
      </c>
      <c r="I131" s="5">
        <f t="shared" si="12"/>
        <v>90.27</v>
      </c>
      <c r="J131" s="5">
        <f t="shared" si="13"/>
        <v>10.030000000000001</v>
      </c>
      <c r="K131" s="5">
        <f t="shared" si="14"/>
        <v>61.274775997827859</v>
      </c>
      <c r="L131" s="5">
        <f t="shared" si="15"/>
        <v>17.074775997827857</v>
      </c>
      <c r="M131" s="6">
        <f t="shared" si="16"/>
        <v>0.27865913370998113</v>
      </c>
      <c r="N131" s="6">
        <f t="shared" si="17"/>
        <v>-7.464086629001887E-2</v>
      </c>
    </row>
    <row r="132" spans="1:14" x14ac:dyDescent="0.3">
      <c r="A132" s="4">
        <v>9</v>
      </c>
      <c r="B132" s="4" t="s">
        <v>155</v>
      </c>
      <c r="C132" s="5">
        <v>287.45</v>
      </c>
      <c r="D132" s="5">
        <v>27</v>
      </c>
      <c r="E132" s="5">
        <v>16</v>
      </c>
      <c r="F132" s="8">
        <v>30.86</v>
      </c>
      <c r="G132" s="5">
        <v>610.07000000000005</v>
      </c>
      <c r="H132" s="9">
        <v>0.1</v>
      </c>
      <c r="I132" s="5">
        <f t="shared" si="12"/>
        <v>549.0630000000001</v>
      </c>
      <c r="J132" s="5">
        <f t="shared" si="13"/>
        <v>61.006999999999948</v>
      </c>
      <c r="K132" s="5">
        <f t="shared" si="14"/>
        <v>372.70092316046714</v>
      </c>
      <c r="L132" s="5">
        <f t="shared" si="15"/>
        <v>85.250923160467153</v>
      </c>
      <c r="M132" s="6">
        <f t="shared" si="16"/>
        <v>0.22873815937333269</v>
      </c>
      <c r="N132" s="6">
        <f t="shared" si="17"/>
        <v>-7.9861840626667291E-2</v>
      </c>
    </row>
    <row r="133" spans="1:14" x14ac:dyDescent="0.3">
      <c r="A133" s="4">
        <v>9</v>
      </c>
      <c r="B133" s="4" t="s">
        <v>156</v>
      </c>
      <c r="C133" s="5">
        <v>347.04</v>
      </c>
      <c r="D133" s="5">
        <v>30</v>
      </c>
      <c r="E133" s="5">
        <v>16</v>
      </c>
      <c r="F133" s="8">
        <v>30.78</v>
      </c>
      <c r="G133" s="5">
        <v>756.05</v>
      </c>
      <c r="H133" s="9">
        <v>0.1</v>
      </c>
      <c r="I133" s="5">
        <f t="shared" si="12"/>
        <v>680.44499999999994</v>
      </c>
      <c r="J133" s="5">
        <f t="shared" si="13"/>
        <v>75.605000000000018</v>
      </c>
      <c r="K133" s="5">
        <f t="shared" si="14"/>
        <v>451.22347480106095</v>
      </c>
      <c r="L133" s="5">
        <f t="shared" si="15"/>
        <v>104.18347480106092</v>
      </c>
      <c r="M133" s="6">
        <f t="shared" si="16"/>
        <v>0.23089107863236544</v>
      </c>
      <c r="N133" s="6">
        <f t="shared" si="17"/>
        <v>-7.6908921367634581E-2</v>
      </c>
    </row>
    <row r="134" spans="1:14" x14ac:dyDescent="0.3">
      <c r="A134" s="4">
        <v>9</v>
      </c>
      <c r="B134" s="4" t="s">
        <v>157</v>
      </c>
      <c r="C134" s="5">
        <v>53.09</v>
      </c>
      <c r="D134" s="5">
        <v>27</v>
      </c>
      <c r="E134" s="5">
        <v>16</v>
      </c>
      <c r="F134" s="8">
        <v>36.15</v>
      </c>
      <c r="G134" s="5">
        <v>122.01</v>
      </c>
      <c r="H134" s="9">
        <v>0.1</v>
      </c>
      <c r="I134" s="5">
        <f t="shared" si="12"/>
        <v>109.80900000000001</v>
      </c>
      <c r="J134" s="5">
        <f t="shared" si="13"/>
        <v>12.200999999999993</v>
      </c>
      <c r="K134" s="5">
        <f t="shared" si="14"/>
        <v>74.537740972033689</v>
      </c>
      <c r="L134" s="5">
        <f t="shared" si="15"/>
        <v>21.447740972033685</v>
      </c>
      <c r="M134" s="6">
        <f t="shared" si="16"/>
        <v>0.2877433725833039</v>
      </c>
      <c r="N134" s="6">
        <f t="shared" si="17"/>
        <v>-7.3756627416696086E-2</v>
      </c>
    </row>
    <row r="135" spans="1:14" x14ac:dyDescent="0.3">
      <c r="A135" s="4">
        <v>9</v>
      </c>
      <c r="B135" s="4" t="s">
        <v>158</v>
      </c>
      <c r="C135" s="5">
        <v>93.3</v>
      </c>
      <c r="D135" s="5">
        <v>27</v>
      </c>
      <c r="E135" s="5">
        <v>16</v>
      </c>
      <c r="F135" s="8">
        <v>32.549999999999997</v>
      </c>
      <c r="G135" s="5">
        <v>202.97</v>
      </c>
      <c r="H135" s="9">
        <v>0.1</v>
      </c>
      <c r="I135" s="5">
        <f t="shared" si="12"/>
        <v>182.673</v>
      </c>
      <c r="J135" s="5">
        <f t="shared" si="13"/>
        <v>20.296999999999997</v>
      </c>
      <c r="K135" s="5">
        <f t="shared" si="14"/>
        <v>123.99742058104808</v>
      </c>
      <c r="L135" s="5">
        <f t="shared" si="15"/>
        <v>30.697420581048078</v>
      </c>
      <c r="M135" s="6">
        <f t="shared" si="16"/>
        <v>0.247564993184543</v>
      </c>
      <c r="N135" s="6">
        <f t="shared" si="17"/>
        <v>-7.7935006815456953E-2</v>
      </c>
    </row>
    <row r="136" spans="1:14" x14ac:dyDescent="0.3">
      <c r="A136" s="4">
        <v>9</v>
      </c>
      <c r="B136" s="4" t="s">
        <v>159</v>
      </c>
      <c r="C136" s="5">
        <v>96.82</v>
      </c>
      <c r="D136" s="5">
        <v>27</v>
      </c>
      <c r="E136" s="5">
        <v>16</v>
      </c>
      <c r="F136" s="8">
        <v>30.73</v>
      </c>
      <c r="G136" s="5">
        <v>205.1</v>
      </c>
      <c r="H136" s="9">
        <v>0.1</v>
      </c>
      <c r="I136" s="5">
        <f t="shared" si="12"/>
        <v>184.59</v>
      </c>
      <c r="J136" s="5">
        <f t="shared" si="13"/>
        <v>20.509999999999991</v>
      </c>
      <c r="K136" s="5">
        <f t="shared" si="14"/>
        <v>125.29866956285639</v>
      </c>
      <c r="L136" s="5">
        <f t="shared" si="15"/>
        <v>28.478669562856396</v>
      </c>
      <c r="M136" s="6">
        <f t="shared" si="16"/>
        <v>0.22728628853133992</v>
      </c>
      <c r="N136" s="6">
        <f t="shared" si="17"/>
        <v>-8.0013711468660098E-2</v>
      </c>
    </row>
    <row r="137" spans="1:14" x14ac:dyDescent="0.3">
      <c r="A137" s="4">
        <v>9</v>
      </c>
      <c r="B137" s="4" t="s">
        <v>160</v>
      </c>
      <c r="C137" s="5">
        <v>99.35</v>
      </c>
      <c r="D137" s="5">
        <v>27</v>
      </c>
      <c r="E137" s="5">
        <v>16</v>
      </c>
      <c r="F137" s="8">
        <v>30.77</v>
      </c>
      <c r="G137" s="5">
        <v>210.59</v>
      </c>
      <c r="H137" s="9">
        <v>0.1</v>
      </c>
      <c r="I137" s="5">
        <f t="shared" si="12"/>
        <v>189.53100000000001</v>
      </c>
      <c r="J137" s="5">
        <f t="shared" si="13"/>
        <v>21.058999999999997</v>
      </c>
      <c r="K137" s="5">
        <f t="shared" si="14"/>
        <v>128.65259299484117</v>
      </c>
      <c r="L137" s="5">
        <f t="shared" si="15"/>
        <v>29.302592994841177</v>
      </c>
      <c r="M137" s="6">
        <f t="shared" si="16"/>
        <v>0.22776527322707113</v>
      </c>
      <c r="N137" s="6">
        <f t="shared" si="17"/>
        <v>-7.9934726772928844E-2</v>
      </c>
    </row>
    <row r="138" spans="1:14" x14ac:dyDescent="0.3">
      <c r="A138" s="4">
        <v>9</v>
      </c>
      <c r="B138" s="4" t="s">
        <v>161</v>
      </c>
      <c r="C138" s="5">
        <v>18.02</v>
      </c>
      <c r="D138" s="5">
        <v>27</v>
      </c>
      <c r="E138" s="5">
        <v>16</v>
      </c>
      <c r="F138" s="8">
        <v>38.33</v>
      </c>
      <c r="G138" s="5">
        <v>42.88</v>
      </c>
      <c r="H138" s="9">
        <v>0.1</v>
      </c>
      <c r="I138" s="5">
        <f t="shared" si="12"/>
        <v>38.592000000000006</v>
      </c>
      <c r="J138" s="5">
        <f t="shared" si="13"/>
        <v>4.2879999999999967</v>
      </c>
      <c r="K138" s="5">
        <f t="shared" si="14"/>
        <v>26.196035840347548</v>
      </c>
      <c r="L138" s="5">
        <f t="shared" si="15"/>
        <v>8.1760358403475486</v>
      </c>
      <c r="M138" s="6">
        <f t="shared" si="16"/>
        <v>0.31210966003316765</v>
      </c>
      <c r="N138" s="6">
        <f t="shared" si="17"/>
        <v>-7.1190339966832328E-2</v>
      </c>
    </row>
    <row r="139" spans="1:14" x14ac:dyDescent="0.3">
      <c r="A139" s="4">
        <v>9</v>
      </c>
      <c r="B139" s="4" t="s">
        <v>162</v>
      </c>
      <c r="C139" s="5">
        <v>326.8</v>
      </c>
      <c r="D139" s="5">
        <v>53</v>
      </c>
      <c r="E139" s="5">
        <v>16</v>
      </c>
      <c r="F139" s="8">
        <v>30.88</v>
      </c>
      <c r="G139" s="5">
        <v>839.13</v>
      </c>
      <c r="H139" s="9">
        <v>0.1</v>
      </c>
      <c r="I139" s="5">
        <f t="shared" si="12"/>
        <v>755.21699999999998</v>
      </c>
      <c r="J139" s="5">
        <f t="shared" si="13"/>
        <v>83.913000000000011</v>
      </c>
      <c r="K139" s="5">
        <f t="shared" si="14"/>
        <v>425.52231237322513</v>
      </c>
      <c r="L139" s="5">
        <f t="shared" si="15"/>
        <v>98.722312373225122</v>
      </c>
      <c r="M139" s="6">
        <f t="shared" si="16"/>
        <v>0.23200266943143488</v>
      </c>
      <c r="N139" s="6">
        <f t="shared" si="17"/>
        <v>-7.6797330568565081E-2</v>
      </c>
    </row>
    <row r="140" spans="1:14" x14ac:dyDescent="0.3">
      <c r="A140" s="4">
        <v>9</v>
      </c>
      <c r="B140" s="4" t="s">
        <v>163</v>
      </c>
      <c r="C140" s="5">
        <v>168</v>
      </c>
      <c r="D140" s="5">
        <v>0</v>
      </c>
      <c r="E140" s="5">
        <v>16</v>
      </c>
      <c r="F140" s="8">
        <v>32.15</v>
      </c>
      <c r="G140" s="5">
        <v>287.23</v>
      </c>
      <c r="H140" s="9">
        <v>0.1</v>
      </c>
      <c r="I140" s="5">
        <f t="shared" si="12"/>
        <v>258.50700000000001</v>
      </c>
      <c r="J140" s="5">
        <f t="shared" si="13"/>
        <v>28.723000000000013</v>
      </c>
      <c r="K140" s="5">
        <f t="shared" si="14"/>
        <v>222.85086206896554</v>
      </c>
      <c r="L140" s="5">
        <f t="shared" si="15"/>
        <v>54.85086206896554</v>
      </c>
      <c r="M140" s="6">
        <f t="shared" si="16"/>
        <v>0.24613259989091213</v>
      </c>
      <c r="N140" s="6">
        <f t="shared" si="17"/>
        <v>-7.5367400109087879E-2</v>
      </c>
    </row>
    <row r="141" spans="1:14" x14ac:dyDescent="0.3">
      <c r="A141" s="4">
        <v>9</v>
      </c>
      <c r="B141" s="4" t="s">
        <v>164</v>
      </c>
      <c r="C141" s="5">
        <v>204.82</v>
      </c>
      <c r="D141" s="5">
        <v>53</v>
      </c>
      <c r="E141" s="5">
        <v>16</v>
      </c>
      <c r="F141" s="8">
        <v>32.54</v>
      </c>
      <c r="G141" s="5">
        <v>538.86</v>
      </c>
      <c r="H141" s="9">
        <v>0.1</v>
      </c>
      <c r="I141" s="5">
        <f t="shared" si="12"/>
        <v>484.97400000000005</v>
      </c>
      <c r="J141" s="5">
        <f t="shared" si="13"/>
        <v>53.885999999999967</v>
      </c>
      <c r="K141" s="5">
        <f t="shared" si="14"/>
        <v>273.25557809330633</v>
      </c>
      <c r="L141" s="5">
        <f t="shared" si="15"/>
        <v>68.435578093306333</v>
      </c>
      <c r="M141" s="6">
        <f t="shared" si="16"/>
        <v>0.25044531047025215</v>
      </c>
      <c r="N141" s="6">
        <f t="shared" si="17"/>
        <v>-7.495468952974782E-2</v>
      </c>
    </row>
    <row r="142" spans="1:14" x14ac:dyDescent="0.3">
      <c r="A142" s="4">
        <v>9</v>
      </c>
      <c r="B142" s="4" t="s">
        <v>165</v>
      </c>
      <c r="C142" s="5">
        <v>132.41</v>
      </c>
      <c r="D142" s="5">
        <v>53</v>
      </c>
      <c r="E142" s="5">
        <v>16</v>
      </c>
      <c r="F142" s="8">
        <v>30.68</v>
      </c>
      <c r="G142" s="5">
        <v>339</v>
      </c>
      <c r="H142" s="9">
        <v>0.1</v>
      </c>
      <c r="I142" s="5">
        <f t="shared" si="12"/>
        <v>305.10000000000002</v>
      </c>
      <c r="J142" s="5">
        <f t="shared" si="13"/>
        <v>33.899999999999977</v>
      </c>
      <c r="K142" s="5">
        <f t="shared" si="14"/>
        <v>171.90669371196756</v>
      </c>
      <c r="L142" s="5">
        <f t="shared" si="15"/>
        <v>39.496693711967566</v>
      </c>
      <c r="M142" s="6">
        <f t="shared" si="16"/>
        <v>0.22975657817109155</v>
      </c>
      <c r="N142" s="6">
        <f t="shared" si="17"/>
        <v>-7.704342182890847E-2</v>
      </c>
    </row>
    <row r="143" spans="1:14" x14ac:dyDescent="0.3">
      <c r="A143" s="4">
        <v>9</v>
      </c>
      <c r="B143" s="4" t="s">
        <v>166</v>
      </c>
      <c r="C143" s="5">
        <v>464</v>
      </c>
      <c r="D143" s="5">
        <v>53</v>
      </c>
      <c r="E143" s="5">
        <v>16</v>
      </c>
      <c r="F143" s="8">
        <v>36.409999999999997</v>
      </c>
      <c r="G143" s="5">
        <v>1295.02</v>
      </c>
      <c r="H143" s="9">
        <v>0.1</v>
      </c>
      <c r="I143" s="5">
        <f t="shared" si="12"/>
        <v>1165.518</v>
      </c>
      <c r="J143" s="5">
        <f t="shared" si="13"/>
        <v>129.50199999999995</v>
      </c>
      <c r="K143" s="5">
        <f t="shared" si="14"/>
        <v>656.70385395537528</v>
      </c>
      <c r="L143" s="5">
        <f t="shared" si="15"/>
        <v>192.70385395537528</v>
      </c>
      <c r="M143" s="6">
        <f t="shared" si="16"/>
        <v>0.29344102793779248</v>
      </c>
      <c r="N143" s="6">
        <f t="shared" si="17"/>
        <v>-7.0658972062207503E-2</v>
      </c>
    </row>
    <row r="144" spans="1:14" x14ac:dyDescent="0.3">
      <c r="A144" s="4">
        <v>9</v>
      </c>
      <c r="B144" s="4" t="s">
        <v>167</v>
      </c>
      <c r="C144" s="5">
        <v>16.93</v>
      </c>
      <c r="D144" s="5">
        <v>27</v>
      </c>
      <c r="E144" s="5">
        <v>16</v>
      </c>
      <c r="F144" s="8">
        <v>30.06</v>
      </c>
      <c r="G144" s="5">
        <v>35.53</v>
      </c>
      <c r="H144" s="9">
        <v>0.1</v>
      </c>
      <c r="I144" s="5">
        <f t="shared" si="12"/>
        <v>31.977</v>
      </c>
      <c r="J144" s="5">
        <f t="shared" si="13"/>
        <v>3.5530000000000008</v>
      </c>
      <c r="K144" s="5">
        <f t="shared" si="14"/>
        <v>21.705810480586482</v>
      </c>
      <c r="L144" s="5">
        <f t="shared" si="15"/>
        <v>4.7758104805864825</v>
      </c>
      <c r="M144" s="6">
        <f t="shared" si="16"/>
        <v>0.220024517622041</v>
      </c>
      <c r="N144" s="6">
        <f t="shared" si="17"/>
        <v>-8.0575482377958974E-2</v>
      </c>
    </row>
    <row r="145" spans="1:14" x14ac:dyDescent="0.3">
      <c r="A145" s="4">
        <v>9</v>
      </c>
      <c r="B145" s="4" t="s">
        <v>168</v>
      </c>
      <c r="C145" s="5">
        <v>87.2</v>
      </c>
      <c r="D145" s="5">
        <v>27</v>
      </c>
      <c r="E145" s="5">
        <v>16</v>
      </c>
      <c r="F145" s="8">
        <v>32.69</v>
      </c>
      <c r="G145" s="5">
        <v>190.1</v>
      </c>
      <c r="H145" s="9">
        <v>0.1</v>
      </c>
      <c r="I145" s="5">
        <f t="shared" si="12"/>
        <v>171.09</v>
      </c>
      <c r="J145" s="5">
        <f t="shared" si="13"/>
        <v>19.009999999999991</v>
      </c>
      <c r="K145" s="5">
        <f t="shared" si="14"/>
        <v>116.13494433885421</v>
      </c>
      <c r="L145" s="5">
        <f t="shared" si="15"/>
        <v>28.934944338854208</v>
      </c>
      <c r="M145" s="6">
        <f t="shared" si="16"/>
        <v>0.24914933660646452</v>
      </c>
      <c r="N145" s="6">
        <f t="shared" si="17"/>
        <v>-7.7750663393535452E-2</v>
      </c>
    </row>
    <row r="146" spans="1:14" x14ac:dyDescent="0.3">
      <c r="A146" s="4">
        <v>9</v>
      </c>
      <c r="B146" s="4" t="s">
        <v>169</v>
      </c>
      <c r="C146" s="5">
        <v>100.67</v>
      </c>
      <c r="D146" s="5">
        <v>27</v>
      </c>
      <c r="E146" s="5">
        <v>16</v>
      </c>
      <c r="F146" s="8">
        <v>33.94</v>
      </c>
      <c r="G146" s="5">
        <v>223.62</v>
      </c>
      <c r="H146" s="9">
        <v>0.1</v>
      </c>
      <c r="I146" s="5">
        <f t="shared" si="12"/>
        <v>201.25800000000001</v>
      </c>
      <c r="J146" s="5">
        <f t="shared" si="13"/>
        <v>22.361999999999995</v>
      </c>
      <c r="K146" s="5">
        <f t="shared" si="14"/>
        <v>136.61281563942441</v>
      </c>
      <c r="L146" s="5">
        <f t="shared" si="15"/>
        <v>35.94281563942441</v>
      </c>
      <c r="M146" s="6">
        <f t="shared" si="16"/>
        <v>0.26309988174383142</v>
      </c>
      <c r="N146" s="6">
        <f t="shared" si="17"/>
        <v>-7.6300118256168559E-2</v>
      </c>
    </row>
    <row r="147" spans="1:14" x14ac:dyDescent="0.3">
      <c r="A147" s="4">
        <v>9</v>
      </c>
      <c r="B147" s="4" t="s">
        <v>170</v>
      </c>
      <c r="C147" s="5">
        <v>16.93</v>
      </c>
      <c r="D147" s="5">
        <v>27</v>
      </c>
      <c r="E147" s="5">
        <v>16</v>
      </c>
      <c r="F147" s="8">
        <v>32.71</v>
      </c>
      <c r="G147" s="5">
        <v>36.92</v>
      </c>
      <c r="H147" s="9">
        <v>0.1</v>
      </c>
      <c r="I147" s="5">
        <f t="shared" si="12"/>
        <v>33.228000000000002</v>
      </c>
      <c r="J147" s="5">
        <f t="shared" si="13"/>
        <v>3.6920000000000002</v>
      </c>
      <c r="K147" s="5">
        <f t="shared" si="14"/>
        <v>22.554982351344016</v>
      </c>
      <c r="L147" s="5">
        <f t="shared" si="15"/>
        <v>5.6249823513440163</v>
      </c>
      <c r="M147" s="6">
        <f t="shared" si="16"/>
        <v>0.24938979174190454</v>
      </c>
      <c r="N147" s="6">
        <f t="shared" si="17"/>
        <v>-7.7710208258095465E-2</v>
      </c>
    </row>
    <row r="148" spans="1:14" x14ac:dyDescent="0.3">
      <c r="A148" s="4">
        <v>9</v>
      </c>
      <c r="B148" s="4" t="s">
        <v>171</v>
      </c>
      <c r="C148" s="5">
        <v>30.14</v>
      </c>
      <c r="D148" s="5">
        <v>27</v>
      </c>
      <c r="E148" s="5">
        <v>16</v>
      </c>
      <c r="F148" s="8">
        <v>33.89</v>
      </c>
      <c r="G148" s="5">
        <v>66.900000000000006</v>
      </c>
      <c r="H148" s="9">
        <v>0.1</v>
      </c>
      <c r="I148" s="5">
        <f t="shared" si="12"/>
        <v>60.210000000000008</v>
      </c>
      <c r="J148" s="5">
        <f t="shared" si="13"/>
        <v>6.6899999999999977</v>
      </c>
      <c r="K148" s="5">
        <f t="shared" si="14"/>
        <v>40.870214499049695</v>
      </c>
      <c r="L148" s="5">
        <f t="shared" si="15"/>
        <v>10.730214499049694</v>
      </c>
      <c r="M148" s="6">
        <f t="shared" si="16"/>
        <v>0.26254363062614194</v>
      </c>
      <c r="N148" s="6">
        <f t="shared" si="17"/>
        <v>-7.6356369373858035E-2</v>
      </c>
    </row>
    <row r="149" spans="1:14" x14ac:dyDescent="0.3">
      <c r="A149" s="4">
        <v>9</v>
      </c>
      <c r="B149" s="4" t="s">
        <v>172</v>
      </c>
      <c r="C149" s="5">
        <v>21.56</v>
      </c>
      <c r="D149" s="5">
        <v>0</v>
      </c>
      <c r="E149" s="5">
        <v>16</v>
      </c>
      <c r="F149" s="8">
        <v>35.909999999999997</v>
      </c>
      <c r="G149" s="5">
        <v>39.020000000000003</v>
      </c>
      <c r="H149" s="9">
        <v>0.1</v>
      </c>
      <c r="I149" s="5">
        <f t="shared" si="12"/>
        <v>35.118000000000002</v>
      </c>
      <c r="J149" s="5">
        <f t="shared" si="13"/>
        <v>3.902000000000001</v>
      </c>
      <c r="K149" s="5">
        <f t="shared" si="14"/>
        <v>30.274137931034488</v>
      </c>
      <c r="L149" s="5">
        <f t="shared" si="15"/>
        <v>8.7141379310344895</v>
      </c>
      <c r="M149" s="6">
        <f t="shared" si="16"/>
        <v>0.28784099322284884</v>
      </c>
      <c r="N149" s="6">
        <f t="shared" si="17"/>
        <v>-7.1259006777151135E-2</v>
      </c>
    </row>
    <row r="150" spans="1:14" x14ac:dyDescent="0.3">
      <c r="A150" s="4">
        <v>9</v>
      </c>
      <c r="B150" s="4" t="s">
        <v>173</v>
      </c>
      <c r="C150" s="5">
        <v>31.9</v>
      </c>
      <c r="D150" s="5">
        <v>0</v>
      </c>
      <c r="E150" s="5">
        <v>16</v>
      </c>
      <c r="F150" s="8">
        <v>33.950000000000003</v>
      </c>
      <c r="G150" s="5">
        <v>56.03</v>
      </c>
      <c r="H150" s="9">
        <v>0.1</v>
      </c>
      <c r="I150" s="5">
        <f t="shared" si="12"/>
        <v>50.427</v>
      </c>
      <c r="J150" s="5">
        <f t="shared" si="13"/>
        <v>5.6030000000000015</v>
      </c>
      <c r="K150" s="5">
        <f t="shared" si="14"/>
        <v>43.471551724137932</v>
      </c>
      <c r="L150" s="5">
        <f t="shared" si="15"/>
        <v>11.571551724137933</v>
      </c>
      <c r="M150" s="6">
        <f t="shared" si="16"/>
        <v>0.26618676502667227</v>
      </c>
      <c r="N150" s="6">
        <f t="shared" si="17"/>
        <v>-7.3313234973327757E-2</v>
      </c>
    </row>
    <row r="151" spans="1:14" x14ac:dyDescent="0.3">
      <c r="A151" s="4">
        <v>9</v>
      </c>
      <c r="B151" s="4" t="s">
        <v>174</v>
      </c>
      <c r="C151" s="5">
        <v>126.07</v>
      </c>
      <c r="D151" s="5">
        <v>27</v>
      </c>
      <c r="E151" s="5">
        <v>16</v>
      </c>
      <c r="F151" s="8">
        <v>30.92</v>
      </c>
      <c r="G151" s="5">
        <v>267.8</v>
      </c>
      <c r="H151" s="9">
        <v>0.1</v>
      </c>
      <c r="I151" s="5">
        <f t="shared" si="12"/>
        <v>241.02</v>
      </c>
      <c r="J151" s="5">
        <f t="shared" si="13"/>
        <v>26.78</v>
      </c>
      <c r="K151" s="5">
        <f t="shared" si="14"/>
        <v>163.60304099918548</v>
      </c>
      <c r="L151" s="5">
        <f t="shared" si="15"/>
        <v>37.533040999185488</v>
      </c>
      <c r="M151" s="6">
        <f t="shared" si="16"/>
        <v>0.22941530163471932</v>
      </c>
      <c r="N151" s="6">
        <f t="shared" si="17"/>
        <v>-7.978469836528071E-2</v>
      </c>
    </row>
    <row r="152" spans="1:14" x14ac:dyDescent="0.3">
      <c r="A152" s="4">
        <v>9</v>
      </c>
      <c r="B152" s="4" t="s">
        <v>175</v>
      </c>
      <c r="C152" s="5">
        <v>126.07</v>
      </c>
      <c r="D152" s="5">
        <v>27</v>
      </c>
      <c r="E152" s="5">
        <v>16</v>
      </c>
      <c r="F152" s="8">
        <v>30.92</v>
      </c>
      <c r="G152" s="5">
        <v>267.8</v>
      </c>
      <c r="H152" s="9">
        <v>0.1</v>
      </c>
      <c r="I152" s="5">
        <f t="shared" si="12"/>
        <v>241.02</v>
      </c>
      <c r="J152" s="5">
        <f t="shared" si="13"/>
        <v>26.78</v>
      </c>
      <c r="K152" s="5">
        <f t="shared" si="14"/>
        <v>163.60304099918548</v>
      </c>
      <c r="L152" s="5">
        <f t="shared" si="15"/>
        <v>37.533040999185488</v>
      </c>
      <c r="M152" s="6">
        <f t="shared" si="16"/>
        <v>0.22941530163471932</v>
      </c>
      <c r="N152" s="6">
        <f t="shared" si="17"/>
        <v>-7.978469836528071E-2</v>
      </c>
    </row>
    <row r="153" spans="1:14" x14ac:dyDescent="0.3">
      <c r="A153" s="4">
        <v>9</v>
      </c>
      <c r="B153" s="4" t="s">
        <v>176</v>
      </c>
      <c r="C153" s="5">
        <v>236.13</v>
      </c>
      <c r="D153" s="5">
        <v>27</v>
      </c>
      <c r="E153" s="5">
        <v>16</v>
      </c>
      <c r="F153" s="8">
        <v>30.85</v>
      </c>
      <c r="G153" s="5">
        <v>501.09</v>
      </c>
      <c r="H153" s="9">
        <v>0.1</v>
      </c>
      <c r="I153" s="5">
        <f t="shared" si="12"/>
        <v>450.98099999999999</v>
      </c>
      <c r="J153" s="5">
        <f t="shared" si="13"/>
        <v>50.10899999999998</v>
      </c>
      <c r="K153" s="5">
        <f t="shared" si="14"/>
        <v>306.12340483301659</v>
      </c>
      <c r="L153" s="5">
        <f t="shared" si="15"/>
        <v>69.993404833016598</v>
      </c>
      <c r="M153" s="6">
        <f t="shared" si="16"/>
        <v>0.22864440852275383</v>
      </c>
      <c r="N153" s="6">
        <f t="shared" si="17"/>
        <v>-7.9855591477246163E-2</v>
      </c>
    </row>
    <row r="154" spans="1:14" x14ac:dyDescent="0.3">
      <c r="A154" s="4">
        <v>9</v>
      </c>
      <c r="B154" s="4" t="s">
        <v>177</v>
      </c>
      <c r="C154" s="5">
        <v>26.72</v>
      </c>
      <c r="D154" s="5">
        <v>0</v>
      </c>
      <c r="E154" s="5">
        <v>16</v>
      </c>
      <c r="F154" s="8">
        <v>34.090000000000003</v>
      </c>
      <c r="G154" s="5">
        <v>47.03</v>
      </c>
      <c r="H154" s="9">
        <v>0.1</v>
      </c>
      <c r="I154" s="5">
        <f t="shared" si="12"/>
        <v>42.327000000000005</v>
      </c>
      <c r="J154" s="5">
        <f t="shared" si="13"/>
        <v>4.7029999999999959</v>
      </c>
      <c r="K154" s="5">
        <f t="shared" si="14"/>
        <v>36.48879310344828</v>
      </c>
      <c r="L154" s="5">
        <f t="shared" si="15"/>
        <v>9.7687931034482816</v>
      </c>
      <c r="M154" s="6">
        <f t="shared" si="16"/>
        <v>0.2677203676140526</v>
      </c>
      <c r="N154" s="6">
        <f t="shared" si="17"/>
        <v>-7.3179632385947435E-2</v>
      </c>
    </row>
    <row r="155" spans="1:14" x14ac:dyDescent="0.3">
      <c r="A155" s="4">
        <v>9</v>
      </c>
      <c r="B155" s="4" t="s">
        <v>178</v>
      </c>
      <c r="C155" s="5">
        <v>238.72</v>
      </c>
      <c r="D155" s="5">
        <v>30</v>
      </c>
      <c r="E155" s="5">
        <v>16</v>
      </c>
      <c r="F155" s="8">
        <v>30.69</v>
      </c>
      <c r="G155" s="5">
        <v>519.39</v>
      </c>
      <c r="H155" s="9">
        <v>0.1</v>
      </c>
      <c r="I155" s="5">
        <f t="shared" si="12"/>
        <v>467.45100000000002</v>
      </c>
      <c r="J155" s="5">
        <f t="shared" si="13"/>
        <v>51.938999999999965</v>
      </c>
      <c r="K155" s="5">
        <f t="shared" si="14"/>
        <v>309.98076923076923</v>
      </c>
      <c r="L155" s="5">
        <f t="shared" si="15"/>
        <v>71.260769230769228</v>
      </c>
      <c r="M155" s="6">
        <f t="shared" si="16"/>
        <v>0.22988771015571685</v>
      </c>
      <c r="N155" s="6">
        <f t="shared" si="17"/>
        <v>-7.7012289844283155E-2</v>
      </c>
    </row>
    <row r="156" spans="1:14" x14ac:dyDescent="0.3">
      <c r="A156" s="4">
        <v>9</v>
      </c>
      <c r="B156" s="4" t="s">
        <v>179</v>
      </c>
      <c r="C156" s="5">
        <v>122</v>
      </c>
      <c r="D156" s="5">
        <v>27</v>
      </c>
      <c r="E156" s="5">
        <v>16</v>
      </c>
      <c r="F156" s="8">
        <v>38.049999999999997</v>
      </c>
      <c r="G156" s="5">
        <v>288.98</v>
      </c>
      <c r="H156" s="9">
        <v>0.1</v>
      </c>
      <c r="I156" s="5">
        <f t="shared" si="12"/>
        <v>260.08200000000005</v>
      </c>
      <c r="J156" s="5">
        <f t="shared" si="13"/>
        <v>28.897999999999968</v>
      </c>
      <c r="K156" s="5">
        <f t="shared" si="14"/>
        <v>176.54222101547657</v>
      </c>
      <c r="L156" s="5">
        <f t="shared" si="15"/>
        <v>54.542221015476571</v>
      </c>
      <c r="M156" s="6">
        <f t="shared" si="16"/>
        <v>0.30894717819764556</v>
      </c>
      <c r="N156" s="6">
        <f t="shared" si="17"/>
        <v>-7.1552821802354394E-2</v>
      </c>
    </row>
    <row r="157" spans="1:14" x14ac:dyDescent="0.3">
      <c r="A157" s="4">
        <v>9</v>
      </c>
      <c r="B157" s="4" t="s">
        <v>180</v>
      </c>
      <c r="C157" s="5">
        <v>244.7</v>
      </c>
      <c r="D157" s="5">
        <v>30</v>
      </c>
      <c r="E157" s="5">
        <v>16</v>
      </c>
      <c r="F157" s="8">
        <v>31.53</v>
      </c>
      <c r="G157" s="5">
        <v>538.92999999999995</v>
      </c>
      <c r="H157" s="9">
        <v>0.1</v>
      </c>
      <c r="I157" s="5">
        <f t="shared" si="12"/>
        <v>485.03699999999998</v>
      </c>
      <c r="J157" s="5">
        <f t="shared" si="13"/>
        <v>53.892999999999972</v>
      </c>
      <c r="K157" s="5">
        <f t="shared" si="14"/>
        <v>321.64257294429706</v>
      </c>
      <c r="L157" s="5">
        <f t="shared" si="15"/>
        <v>76.942572944297069</v>
      </c>
      <c r="M157" s="6">
        <f t="shared" si="16"/>
        <v>0.23921762669652002</v>
      </c>
      <c r="N157" s="6">
        <f t="shared" si="17"/>
        <v>-7.608237330348E-2</v>
      </c>
    </row>
    <row r="158" spans="1:14" x14ac:dyDescent="0.3">
      <c r="A158" s="4">
        <v>9</v>
      </c>
      <c r="B158" s="4" t="s">
        <v>181</v>
      </c>
      <c r="C158" s="5">
        <v>108.36</v>
      </c>
      <c r="D158" s="5">
        <v>27</v>
      </c>
      <c r="E158" s="5">
        <v>16</v>
      </c>
      <c r="F158" s="8">
        <v>33.119999999999997</v>
      </c>
      <c r="G158" s="5">
        <v>237.75</v>
      </c>
      <c r="H158" s="9">
        <v>0.1</v>
      </c>
      <c r="I158" s="5">
        <f t="shared" si="12"/>
        <v>213.97499999999999</v>
      </c>
      <c r="J158" s="5">
        <f t="shared" si="13"/>
        <v>23.775000000000006</v>
      </c>
      <c r="K158" s="5">
        <f t="shared" si="14"/>
        <v>145.24504480043444</v>
      </c>
      <c r="L158" s="5">
        <f t="shared" si="15"/>
        <v>36.885044800434443</v>
      </c>
      <c r="M158" s="6">
        <f t="shared" si="16"/>
        <v>0.25395045215562573</v>
      </c>
      <c r="N158" s="6">
        <f t="shared" si="17"/>
        <v>-7.7249547844374267E-2</v>
      </c>
    </row>
    <row r="159" spans="1:14" x14ac:dyDescent="0.3">
      <c r="A159" s="4">
        <v>9</v>
      </c>
      <c r="B159" s="4" t="s">
        <v>182</v>
      </c>
      <c r="C159" s="5">
        <v>80.959999999999994</v>
      </c>
      <c r="D159" s="5">
        <v>27</v>
      </c>
      <c r="E159" s="5">
        <v>16</v>
      </c>
      <c r="F159" s="8">
        <v>33.33</v>
      </c>
      <c r="G159" s="5">
        <v>178.19</v>
      </c>
      <c r="H159" s="9">
        <v>0.1</v>
      </c>
      <c r="I159" s="5">
        <f t="shared" si="12"/>
        <v>160.37100000000001</v>
      </c>
      <c r="J159" s="5">
        <f t="shared" si="13"/>
        <v>17.818999999999988</v>
      </c>
      <c r="K159" s="5">
        <f t="shared" si="14"/>
        <v>108.85894651099649</v>
      </c>
      <c r="L159" s="5">
        <f t="shared" si="15"/>
        <v>27.898946510996495</v>
      </c>
      <c r="M159" s="6">
        <f t="shared" si="16"/>
        <v>0.25628528848732024</v>
      </c>
      <c r="N159" s="6">
        <f t="shared" si="17"/>
        <v>-7.7014711512679745E-2</v>
      </c>
    </row>
    <row r="160" spans="1:14" x14ac:dyDescent="0.3">
      <c r="A160" s="4">
        <v>9</v>
      </c>
      <c r="B160" s="4" t="s">
        <v>183</v>
      </c>
      <c r="C160" s="5">
        <v>78.02</v>
      </c>
      <c r="D160" s="5">
        <v>27</v>
      </c>
      <c r="E160" s="5">
        <v>16</v>
      </c>
      <c r="F160" s="8">
        <v>33.74</v>
      </c>
      <c r="G160" s="5">
        <v>172.79</v>
      </c>
      <c r="H160" s="9">
        <v>0.1</v>
      </c>
      <c r="I160" s="5">
        <f t="shared" si="12"/>
        <v>155.511</v>
      </c>
      <c r="J160" s="5">
        <f t="shared" si="13"/>
        <v>17.278999999999996</v>
      </c>
      <c r="K160" s="5">
        <f t="shared" si="14"/>
        <v>105.5600054303557</v>
      </c>
      <c r="L160" s="5">
        <f t="shared" si="15"/>
        <v>27.540005430355706</v>
      </c>
      <c r="M160" s="6">
        <f t="shared" si="16"/>
        <v>0.26089431615769959</v>
      </c>
      <c r="N160" s="6">
        <f t="shared" si="17"/>
        <v>-7.6505683842300443E-2</v>
      </c>
    </row>
    <row r="161" spans="1:14" x14ac:dyDescent="0.3">
      <c r="A161" s="4">
        <v>9</v>
      </c>
      <c r="B161" s="4" t="s">
        <v>184</v>
      </c>
      <c r="C161" s="5">
        <v>78.02</v>
      </c>
      <c r="D161" s="5">
        <v>27</v>
      </c>
      <c r="E161" s="5">
        <v>16</v>
      </c>
      <c r="F161" s="8">
        <v>33.74</v>
      </c>
      <c r="G161" s="5">
        <v>172.79</v>
      </c>
      <c r="H161" s="9">
        <v>0.1</v>
      </c>
      <c r="I161" s="5">
        <f t="shared" si="12"/>
        <v>155.511</v>
      </c>
      <c r="J161" s="5">
        <f t="shared" si="13"/>
        <v>17.278999999999996</v>
      </c>
      <c r="K161" s="5">
        <f t="shared" si="14"/>
        <v>105.5600054303557</v>
      </c>
      <c r="L161" s="5">
        <f t="shared" si="15"/>
        <v>27.540005430355706</v>
      </c>
      <c r="M161" s="6">
        <f t="shared" si="16"/>
        <v>0.26089431615769959</v>
      </c>
      <c r="N161" s="6">
        <f t="shared" si="17"/>
        <v>-7.6505683842300443E-2</v>
      </c>
    </row>
    <row r="162" spans="1:14" x14ac:dyDescent="0.3">
      <c r="A162" s="4">
        <v>9</v>
      </c>
      <c r="B162" s="4" t="s">
        <v>185</v>
      </c>
      <c r="C162" s="5">
        <v>122.67</v>
      </c>
      <c r="D162" s="5">
        <v>27</v>
      </c>
      <c r="E162" s="5">
        <v>16</v>
      </c>
      <c r="F162" s="8">
        <v>30.82</v>
      </c>
      <c r="G162" s="5">
        <v>260.2</v>
      </c>
      <c r="H162" s="9">
        <v>0.1</v>
      </c>
      <c r="I162" s="5">
        <f t="shared" si="12"/>
        <v>234.18</v>
      </c>
      <c r="J162" s="5">
        <f t="shared" si="13"/>
        <v>26.019999999999982</v>
      </c>
      <c r="K162" s="5">
        <f t="shared" si="14"/>
        <v>158.96008688569103</v>
      </c>
      <c r="L162" s="5">
        <f t="shared" si="15"/>
        <v>36.290086885691025</v>
      </c>
      <c r="M162" s="6">
        <f t="shared" si="16"/>
        <v>0.22829684857801696</v>
      </c>
      <c r="N162" s="6">
        <f t="shared" si="17"/>
        <v>-7.9903151421983065E-2</v>
      </c>
    </row>
    <row r="163" spans="1:14" x14ac:dyDescent="0.3">
      <c r="A163" s="4">
        <v>9</v>
      </c>
      <c r="B163" s="4" t="s">
        <v>186</v>
      </c>
      <c r="C163" s="5">
        <v>205.59</v>
      </c>
      <c r="D163" s="5">
        <v>27</v>
      </c>
      <c r="E163" s="5">
        <v>16</v>
      </c>
      <c r="F163" s="8">
        <v>30.85</v>
      </c>
      <c r="G163" s="5">
        <v>436.27</v>
      </c>
      <c r="H163" s="9">
        <v>0.1</v>
      </c>
      <c r="I163" s="5">
        <f t="shared" si="12"/>
        <v>392.64299999999997</v>
      </c>
      <c r="J163" s="5">
        <f t="shared" si="13"/>
        <v>43.62700000000001</v>
      </c>
      <c r="K163" s="5">
        <f t="shared" si="14"/>
        <v>266.52389356502852</v>
      </c>
      <c r="L163" s="5">
        <f t="shared" si="15"/>
        <v>60.933893565028512</v>
      </c>
      <c r="M163" s="6">
        <f t="shared" si="16"/>
        <v>0.22862450623085093</v>
      </c>
      <c r="N163" s="6">
        <f t="shared" si="17"/>
        <v>-7.987549376914907E-2</v>
      </c>
    </row>
    <row r="164" spans="1:14" x14ac:dyDescent="0.3">
      <c r="A164" s="4">
        <v>9</v>
      </c>
      <c r="B164" s="4" t="s">
        <v>187</v>
      </c>
      <c r="C164" s="5">
        <v>107.46</v>
      </c>
      <c r="D164" s="5">
        <v>27</v>
      </c>
      <c r="E164" s="5">
        <v>16</v>
      </c>
      <c r="F164" s="8">
        <v>30.78</v>
      </c>
      <c r="G164" s="5">
        <v>227.8</v>
      </c>
      <c r="H164" s="9">
        <v>0.1</v>
      </c>
      <c r="I164" s="5">
        <f t="shared" si="12"/>
        <v>205.02</v>
      </c>
      <c r="J164" s="5">
        <f t="shared" si="13"/>
        <v>22.78</v>
      </c>
      <c r="K164" s="5">
        <f t="shared" si="14"/>
        <v>139.16644040184633</v>
      </c>
      <c r="L164" s="5">
        <f t="shared" si="15"/>
        <v>31.706440401846336</v>
      </c>
      <c r="M164" s="6">
        <f t="shared" si="16"/>
        <v>0.22783107989464452</v>
      </c>
      <c r="N164" s="6">
        <f t="shared" si="17"/>
        <v>-7.9968920105355501E-2</v>
      </c>
    </row>
    <row r="165" spans="1:14" x14ac:dyDescent="0.3">
      <c r="A165" s="4">
        <v>9</v>
      </c>
      <c r="B165" s="4" t="s">
        <v>188</v>
      </c>
      <c r="C165" s="5">
        <v>150.27000000000001</v>
      </c>
      <c r="D165" s="5">
        <v>27</v>
      </c>
      <c r="E165" s="5">
        <v>16</v>
      </c>
      <c r="F165" s="8">
        <v>30</v>
      </c>
      <c r="G165" s="5">
        <v>315.01</v>
      </c>
      <c r="H165" s="9">
        <v>0.1</v>
      </c>
      <c r="I165" s="5">
        <f t="shared" si="12"/>
        <v>283.50900000000001</v>
      </c>
      <c r="J165" s="5">
        <f t="shared" si="13"/>
        <v>31.500999999999976</v>
      </c>
      <c r="K165" s="5">
        <f t="shared" si="14"/>
        <v>192.44433885419497</v>
      </c>
      <c r="L165" s="5">
        <f t="shared" si="15"/>
        <v>42.174338854194957</v>
      </c>
      <c r="M165" s="6">
        <f t="shared" si="16"/>
        <v>0.21915084177221889</v>
      </c>
      <c r="N165" s="6">
        <f t="shared" si="17"/>
        <v>-8.0849158227781104E-2</v>
      </c>
    </row>
    <row r="166" spans="1:14" x14ac:dyDescent="0.3">
      <c r="A166" s="4">
        <v>9</v>
      </c>
      <c r="B166" s="4" t="s">
        <v>189</v>
      </c>
      <c r="C166" s="5">
        <v>915.6</v>
      </c>
      <c r="D166" s="5">
        <v>53</v>
      </c>
      <c r="E166" s="5">
        <v>16</v>
      </c>
      <c r="F166" s="8">
        <v>30.92</v>
      </c>
      <c r="G166" s="5">
        <v>2352.36</v>
      </c>
      <c r="H166" s="9">
        <v>0.1</v>
      </c>
      <c r="I166" s="5">
        <f t="shared" si="12"/>
        <v>2117.1240000000003</v>
      </c>
      <c r="J166" s="5">
        <f t="shared" si="13"/>
        <v>235.23599999999988</v>
      </c>
      <c r="K166" s="5">
        <f t="shared" si="14"/>
        <v>1192.8803245436106</v>
      </c>
      <c r="L166" s="5">
        <f t="shared" si="15"/>
        <v>277.28032454361062</v>
      </c>
      <c r="M166" s="6">
        <f t="shared" si="16"/>
        <v>0.23244605417538136</v>
      </c>
      <c r="N166" s="6">
        <f t="shared" si="17"/>
        <v>-7.6753945824618669E-2</v>
      </c>
    </row>
    <row r="167" spans="1:14" x14ac:dyDescent="0.3">
      <c r="A167" s="4">
        <v>9</v>
      </c>
      <c r="B167" s="4" t="s">
        <v>190</v>
      </c>
      <c r="C167" s="5">
        <v>282.29000000000002</v>
      </c>
      <c r="D167" s="5">
        <v>53</v>
      </c>
      <c r="E167" s="5">
        <v>16</v>
      </c>
      <c r="F167" s="8">
        <v>37.229999999999997</v>
      </c>
      <c r="G167" s="5">
        <v>798.16</v>
      </c>
      <c r="H167" s="9">
        <v>0.1</v>
      </c>
      <c r="I167" s="5">
        <f t="shared" si="12"/>
        <v>718.34399999999994</v>
      </c>
      <c r="J167" s="5">
        <f t="shared" si="13"/>
        <v>79.816000000000031</v>
      </c>
      <c r="K167" s="5">
        <f t="shared" si="14"/>
        <v>404.74645030425961</v>
      </c>
      <c r="L167" s="5">
        <f t="shared" si="15"/>
        <v>122.45645030425959</v>
      </c>
      <c r="M167" s="6">
        <f t="shared" si="16"/>
        <v>0.30255101733988166</v>
      </c>
      <c r="N167" s="6">
        <f t="shared" si="17"/>
        <v>-6.9748982660118308E-2</v>
      </c>
    </row>
    <row r="168" spans="1:14" x14ac:dyDescent="0.3">
      <c r="A168" s="4">
        <v>9</v>
      </c>
      <c r="B168" s="4" t="s">
        <v>191</v>
      </c>
      <c r="C168" s="5">
        <v>355.53</v>
      </c>
      <c r="D168" s="5">
        <v>53</v>
      </c>
      <c r="E168" s="5">
        <v>16</v>
      </c>
      <c r="F168" s="8">
        <v>33.9</v>
      </c>
      <c r="G168" s="5">
        <v>954.61</v>
      </c>
      <c r="H168" s="9">
        <v>0.1</v>
      </c>
      <c r="I168" s="5">
        <f t="shared" si="12"/>
        <v>859.149</v>
      </c>
      <c r="J168" s="5">
        <f t="shared" si="13"/>
        <v>95.461000000000013</v>
      </c>
      <c r="K168" s="5">
        <f t="shared" si="14"/>
        <v>484.08215010141987</v>
      </c>
      <c r="L168" s="5">
        <f t="shared" si="15"/>
        <v>128.5521501014199</v>
      </c>
      <c r="M168" s="6">
        <f t="shared" si="16"/>
        <v>0.26555854223190628</v>
      </c>
      <c r="N168" s="6">
        <f t="shared" si="17"/>
        <v>-7.3441457768093688E-2</v>
      </c>
    </row>
    <row r="169" spans="1:14" x14ac:dyDescent="0.3">
      <c r="A169" s="4">
        <v>9</v>
      </c>
      <c r="B169" s="4" t="s">
        <v>192</v>
      </c>
      <c r="C169" s="5">
        <v>1076.18</v>
      </c>
      <c r="D169" s="5">
        <v>53</v>
      </c>
      <c r="E169" s="5">
        <v>16</v>
      </c>
      <c r="F169" s="8">
        <v>35.04</v>
      </c>
      <c r="G169" s="5">
        <v>2940.28</v>
      </c>
      <c r="H169" s="9">
        <v>0.1</v>
      </c>
      <c r="I169" s="5">
        <f t="shared" si="12"/>
        <v>2646.2520000000004</v>
      </c>
      <c r="J169" s="5">
        <f t="shared" si="13"/>
        <v>294.02799999999979</v>
      </c>
      <c r="K169" s="5">
        <f t="shared" si="14"/>
        <v>1491.0141987829618</v>
      </c>
      <c r="L169" s="5">
        <f t="shared" si="15"/>
        <v>414.83419878296172</v>
      </c>
      <c r="M169" s="6">
        <f t="shared" si="16"/>
        <v>0.27822283592038866</v>
      </c>
      <c r="N169" s="6">
        <f t="shared" si="17"/>
        <v>-7.2177164079611333E-2</v>
      </c>
    </row>
    <row r="170" spans="1:14" x14ac:dyDescent="0.3">
      <c r="A170" s="4">
        <v>14</v>
      </c>
      <c r="B170" s="4" t="s">
        <v>26</v>
      </c>
      <c r="C170" s="5">
        <v>71.37</v>
      </c>
      <c r="D170" s="5">
        <v>53</v>
      </c>
      <c r="E170" s="5">
        <v>16</v>
      </c>
      <c r="F170" s="8">
        <v>30</v>
      </c>
      <c r="G170" s="5">
        <v>180.96</v>
      </c>
      <c r="H170" s="9">
        <v>0.1</v>
      </c>
      <c r="I170" s="5">
        <f t="shared" si="12"/>
        <v>162.864</v>
      </c>
      <c r="J170" s="5">
        <f t="shared" si="13"/>
        <v>18.096000000000004</v>
      </c>
      <c r="K170" s="5">
        <f t="shared" si="14"/>
        <v>91.764705882352942</v>
      </c>
      <c r="L170" s="5">
        <f t="shared" si="15"/>
        <v>20.394705882352937</v>
      </c>
      <c r="M170" s="6">
        <f t="shared" si="16"/>
        <v>0.22224999999999995</v>
      </c>
      <c r="N170" s="6">
        <f t="shared" si="17"/>
        <v>-7.7750000000000041E-2</v>
      </c>
    </row>
    <row r="171" spans="1:14" x14ac:dyDescent="0.3">
      <c r="A171" s="4">
        <v>14</v>
      </c>
      <c r="B171" s="4" t="s">
        <v>27</v>
      </c>
      <c r="C171" s="5">
        <v>250.73</v>
      </c>
      <c r="D171" s="5">
        <v>53</v>
      </c>
      <c r="E171" s="5">
        <v>16</v>
      </c>
      <c r="F171" s="8">
        <v>30</v>
      </c>
      <c r="G171" s="5">
        <v>635.72</v>
      </c>
      <c r="H171" s="9">
        <v>0.1</v>
      </c>
      <c r="I171" s="5">
        <f t="shared" si="12"/>
        <v>572.14800000000002</v>
      </c>
      <c r="J171" s="5">
        <f t="shared" si="13"/>
        <v>63.572000000000003</v>
      </c>
      <c r="K171" s="5">
        <f t="shared" si="14"/>
        <v>322.37322515212986</v>
      </c>
      <c r="L171" s="5">
        <f t="shared" si="15"/>
        <v>71.643225152129872</v>
      </c>
      <c r="M171" s="6">
        <f t="shared" si="16"/>
        <v>0.22223689674699568</v>
      </c>
      <c r="N171" s="6">
        <f t="shared" si="17"/>
        <v>-7.7763103253004312E-2</v>
      </c>
    </row>
    <row r="172" spans="1:14" x14ac:dyDescent="0.3">
      <c r="A172" s="4">
        <v>14</v>
      </c>
      <c r="B172" s="4" t="s">
        <v>25</v>
      </c>
      <c r="C172" s="5">
        <v>46.77</v>
      </c>
      <c r="D172" s="5">
        <v>53</v>
      </c>
      <c r="E172" s="5">
        <v>16</v>
      </c>
      <c r="F172" s="8">
        <v>30</v>
      </c>
      <c r="G172" s="5">
        <v>118.57</v>
      </c>
      <c r="H172" s="9">
        <v>0.1</v>
      </c>
      <c r="I172" s="5">
        <f t="shared" si="12"/>
        <v>106.71299999999999</v>
      </c>
      <c r="J172" s="5">
        <f t="shared" si="13"/>
        <v>11.856999999999999</v>
      </c>
      <c r="K172" s="5">
        <f t="shared" si="14"/>
        <v>60.12677484787018</v>
      </c>
      <c r="L172" s="5">
        <f t="shared" si="15"/>
        <v>13.356774847870177</v>
      </c>
      <c r="M172" s="6">
        <f t="shared" si="16"/>
        <v>0.22214354389811919</v>
      </c>
      <c r="N172" s="6">
        <f t="shared" si="17"/>
        <v>-7.78564561018808E-2</v>
      </c>
    </row>
    <row r="173" spans="1:14" x14ac:dyDescent="0.3">
      <c r="A173" s="4">
        <v>14</v>
      </c>
      <c r="B173" s="4" t="s">
        <v>29</v>
      </c>
      <c r="C173" s="5">
        <v>98.6</v>
      </c>
      <c r="D173" s="5">
        <v>53</v>
      </c>
      <c r="E173" s="5">
        <v>16</v>
      </c>
      <c r="F173" s="8">
        <v>33.090000000000003</v>
      </c>
      <c r="G173" s="5">
        <v>261.52999999999997</v>
      </c>
      <c r="H173" s="9">
        <v>0.1</v>
      </c>
      <c r="I173" s="5">
        <f t="shared" si="12"/>
        <v>235.37699999999998</v>
      </c>
      <c r="J173" s="5">
        <f t="shared" si="13"/>
        <v>26.152999999999992</v>
      </c>
      <c r="K173" s="5">
        <f t="shared" si="14"/>
        <v>132.62170385395538</v>
      </c>
      <c r="L173" s="5">
        <f t="shared" si="15"/>
        <v>34.021703853955387</v>
      </c>
      <c r="M173" s="6">
        <f t="shared" si="16"/>
        <v>0.25653194662180256</v>
      </c>
      <c r="N173" s="6">
        <f t="shared" si="17"/>
        <v>-7.4368053378197463E-2</v>
      </c>
    </row>
    <row r="174" spans="1:14" x14ac:dyDescent="0.3">
      <c r="A174" s="4">
        <v>14</v>
      </c>
      <c r="B174" s="4" t="s">
        <v>28</v>
      </c>
      <c r="C174" s="5">
        <v>242.96</v>
      </c>
      <c r="D174" s="5">
        <v>53</v>
      </c>
      <c r="E174" s="5">
        <v>16</v>
      </c>
      <c r="F174" s="8">
        <v>35.03</v>
      </c>
      <c r="G174" s="5">
        <v>663.7</v>
      </c>
      <c r="H174" s="9">
        <v>0.1</v>
      </c>
      <c r="I174" s="5">
        <f t="shared" si="12"/>
        <v>597.33000000000004</v>
      </c>
      <c r="J174" s="5">
        <f t="shared" si="13"/>
        <v>66.37</v>
      </c>
      <c r="K174" s="5">
        <f t="shared" si="14"/>
        <v>336.56186612576067</v>
      </c>
      <c r="L174" s="5">
        <f t="shared" si="15"/>
        <v>93.601866125760665</v>
      </c>
      <c r="M174" s="6">
        <f t="shared" si="16"/>
        <v>0.27811191803525692</v>
      </c>
      <c r="N174" s="6">
        <f t="shared" si="17"/>
        <v>-7.2188081964743078E-2</v>
      </c>
    </row>
    <row r="175" spans="1:14" x14ac:dyDescent="0.3">
      <c r="A175" s="4">
        <v>14</v>
      </c>
      <c r="B175" s="4" t="s">
        <v>36</v>
      </c>
      <c r="C175" s="5">
        <v>339.65</v>
      </c>
      <c r="D175" s="5">
        <v>27</v>
      </c>
      <c r="E175" s="5">
        <v>16</v>
      </c>
      <c r="F175" s="8">
        <v>30</v>
      </c>
      <c r="G175" s="5">
        <v>714.81</v>
      </c>
      <c r="H175" s="9">
        <v>0.1</v>
      </c>
      <c r="I175" s="5">
        <f t="shared" si="12"/>
        <v>643.32899999999995</v>
      </c>
      <c r="J175" s="5">
        <f t="shared" si="13"/>
        <v>71.480999999999995</v>
      </c>
      <c r="K175" s="5">
        <f t="shared" si="14"/>
        <v>436.68816182459955</v>
      </c>
      <c r="L175" s="5">
        <f t="shared" si="15"/>
        <v>97.03816182459957</v>
      </c>
      <c r="M175" s="6">
        <f t="shared" si="16"/>
        <v>0.22221385947159242</v>
      </c>
      <c r="N175" s="6">
        <f t="shared" si="17"/>
        <v>-7.7786140528407571E-2</v>
      </c>
    </row>
    <row r="176" spans="1:14" x14ac:dyDescent="0.3">
      <c r="A176" s="4">
        <v>14</v>
      </c>
      <c r="B176" s="4" t="s">
        <v>30</v>
      </c>
      <c r="C176" s="5">
        <v>405.23</v>
      </c>
      <c r="D176" s="5">
        <v>53</v>
      </c>
      <c r="E176" s="5">
        <v>16</v>
      </c>
      <c r="F176" s="8">
        <v>30</v>
      </c>
      <c r="G176" s="5">
        <v>1027.43</v>
      </c>
      <c r="H176" s="9">
        <v>0.1</v>
      </c>
      <c r="I176" s="5">
        <f t="shared" si="12"/>
        <v>924.68700000000013</v>
      </c>
      <c r="J176" s="5">
        <f t="shared" si="13"/>
        <v>102.74299999999994</v>
      </c>
      <c r="K176" s="5">
        <f t="shared" si="14"/>
        <v>521.00912778904672</v>
      </c>
      <c r="L176" s="5">
        <f t="shared" si="15"/>
        <v>115.7791277890467</v>
      </c>
      <c r="M176" s="6">
        <f t="shared" si="16"/>
        <v>0.22222092016001097</v>
      </c>
      <c r="N176" s="6">
        <f t="shared" si="17"/>
        <v>-7.7779079839989024E-2</v>
      </c>
    </row>
    <row r="177" spans="1:14" x14ac:dyDescent="0.3">
      <c r="A177" s="4">
        <v>14</v>
      </c>
      <c r="B177" s="4" t="s">
        <v>33</v>
      </c>
      <c r="C177" s="5">
        <v>127</v>
      </c>
      <c r="D177" s="5">
        <v>53</v>
      </c>
      <c r="E177" s="5">
        <v>16</v>
      </c>
      <c r="F177" s="8">
        <v>38.68</v>
      </c>
      <c r="G177" s="5">
        <v>367.58</v>
      </c>
      <c r="H177" s="9">
        <v>0.1</v>
      </c>
      <c r="I177" s="5">
        <f t="shared" si="12"/>
        <v>330.822</v>
      </c>
      <c r="J177" s="5">
        <f t="shared" si="13"/>
        <v>36.757999999999981</v>
      </c>
      <c r="K177" s="5">
        <f t="shared" si="14"/>
        <v>186.39959432048681</v>
      </c>
      <c r="L177" s="5">
        <f t="shared" si="15"/>
        <v>59.399594320486813</v>
      </c>
      <c r="M177" s="6">
        <f t="shared" si="16"/>
        <v>0.31866804505141738</v>
      </c>
      <c r="N177" s="6">
        <f t="shared" si="17"/>
        <v>-6.8131954948582596E-2</v>
      </c>
    </row>
    <row r="178" spans="1:14" x14ac:dyDescent="0.3">
      <c r="A178" s="4">
        <v>14</v>
      </c>
      <c r="B178" s="4" t="s">
        <v>35</v>
      </c>
      <c r="C178" s="5">
        <v>134.80000000000001</v>
      </c>
      <c r="D178" s="5">
        <v>53</v>
      </c>
      <c r="E178" s="5">
        <v>16</v>
      </c>
      <c r="F178" s="8">
        <v>36.78</v>
      </c>
      <c r="G178" s="5">
        <v>378.42</v>
      </c>
      <c r="H178" s="9">
        <v>0.1</v>
      </c>
      <c r="I178" s="5">
        <f t="shared" si="12"/>
        <v>340.57800000000003</v>
      </c>
      <c r="J178" s="5">
        <f t="shared" si="13"/>
        <v>37.841999999999985</v>
      </c>
      <c r="K178" s="5">
        <f t="shared" si="14"/>
        <v>191.89655172413796</v>
      </c>
      <c r="L178" s="5">
        <f t="shared" si="15"/>
        <v>57.096551724137953</v>
      </c>
      <c r="M178" s="6">
        <f t="shared" si="16"/>
        <v>0.29753818508535496</v>
      </c>
      <c r="N178" s="6">
        <f t="shared" si="17"/>
        <v>-7.026181491464506E-2</v>
      </c>
    </row>
    <row r="179" spans="1:14" x14ac:dyDescent="0.3">
      <c r="A179" s="4">
        <v>14</v>
      </c>
      <c r="B179" s="4" t="s">
        <v>31</v>
      </c>
      <c r="C179" s="5">
        <v>183.73</v>
      </c>
      <c r="D179" s="5">
        <v>27</v>
      </c>
      <c r="E179" s="5">
        <v>16</v>
      </c>
      <c r="F179" s="8">
        <v>33.25</v>
      </c>
      <c r="G179" s="5">
        <v>405.5</v>
      </c>
      <c r="H179" s="9">
        <v>0.1</v>
      </c>
      <c r="I179" s="5">
        <f t="shared" si="12"/>
        <v>364.95</v>
      </c>
      <c r="J179" s="5">
        <f t="shared" si="13"/>
        <v>40.550000000000011</v>
      </c>
      <c r="K179" s="5">
        <f t="shared" si="14"/>
        <v>247.72603855552541</v>
      </c>
      <c r="L179" s="5">
        <f t="shared" si="15"/>
        <v>63.996038555525416</v>
      </c>
      <c r="M179" s="6">
        <f t="shared" si="16"/>
        <v>0.25833391971502956</v>
      </c>
      <c r="N179" s="6">
        <f t="shared" si="17"/>
        <v>-7.4166080284970459E-2</v>
      </c>
    </row>
    <row r="180" spans="1:14" x14ac:dyDescent="0.3">
      <c r="A180" s="4">
        <v>14</v>
      </c>
      <c r="B180" s="4" t="s">
        <v>34</v>
      </c>
      <c r="C180" s="5">
        <v>159.63999999999999</v>
      </c>
      <c r="D180" s="5">
        <v>53</v>
      </c>
      <c r="E180" s="5">
        <v>16</v>
      </c>
      <c r="F180" s="8">
        <v>39.22</v>
      </c>
      <c r="G180" s="5">
        <v>466.15</v>
      </c>
      <c r="H180" s="9">
        <v>0.1</v>
      </c>
      <c r="I180" s="5">
        <f t="shared" si="12"/>
        <v>419.53499999999997</v>
      </c>
      <c r="J180" s="5">
        <f t="shared" si="13"/>
        <v>46.615000000000009</v>
      </c>
      <c r="K180" s="5">
        <f t="shared" si="14"/>
        <v>236.38438133874237</v>
      </c>
      <c r="L180" s="5">
        <f t="shared" si="15"/>
        <v>76.744381338742386</v>
      </c>
      <c r="M180" s="6">
        <f t="shared" si="16"/>
        <v>0.32465927276627693</v>
      </c>
      <c r="N180" s="6">
        <f t="shared" si="17"/>
        <v>-6.7540727233723064E-2</v>
      </c>
    </row>
    <row r="181" spans="1:14" x14ac:dyDescent="0.3">
      <c r="A181" s="4">
        <v>14</v>
      </c>
      <c r="B181" s="4" t="s">
        <v>38</v>
      </c>
      <c r="C181" s="5">
        <v>91.84</v>
      </c>
      <c r="D181" s="5">
        <v>53</v>
      </c>
      <c r="E181" s="5">
        <v>16</v>
      </c>
      <c r="F181" s="8">
        <v>30</v>
      </c>
      <c r="G181" s="5">
        <v>232.85</v>
      </c>
      <c r="H181" s="9">
        <v>0.1</v>
      </c>
      <c r="I181" s="5">
        <f t="shared" si="12"/>
        <v>209.565</v>
      </c>
      <c r="J181" s="5">
        <f t="shared" si="13"/>
        <v>23.284999999999997</v>
      </c>
      <c r="K181" s="5">
        <f t="shared" si="14"/>
        <v>118.07809330628804</v>
      </c>
      <c r="L181" s="5">
        <f t="shared" si="15"/>
        <v>26.238093306288036</v>
      </c>
      <c r="M181" s="6">
        <f t="shared" si="16"/>
        <v>0.22220966287309429</v>
      </c>
      <c r="N181" s="6">
        <f t="shared" si="17"/>
        <v>-7.7790337126905695E-2</v>
      </c>
    </row>
    <row r="182" spans="1:14" x14ac:dyDescent="0.3">
      <c r="A182" s="4">
        <v>14</v>
      </c>
      <c r="B182" s="4" t="s">
        <v>32</v>
      </c>
      <c r="C182" s="5">
        <v>91.84</v>
      </c>
      <c r="D182" s="5">
        <v>53</v>
      </c>
      <c r="E182" s="5">
        <v>16</v>
      </c>
      <c r="F182" s="8">
        <v>30</v>
      </c>
      <c r="G182" s="5">
        <v>232.85</v>
      </c>
      <c r="H182" s="9">
        <v>0.1</v>
      </c>
      <c r="I182" s="5">
        <f t="shared" si="12"/>
        <v>209.565</v>
      </c>
      <c r="J182" s="5">
        <f t="shared" si="13"/>
        <v>23.284999999999997</v>
      </c>
      <c r="K182" s="5">
        <f t="shared" si="14"/>
        <v>118.07809330628804</v>
      </c>
      <c r="L182" s="5">
        <f t="shared" si="15"/>
        <v>26.238093306288036</v>
      </c>
      <c r="M182" s="6">
        <f t="shared" si="16"/>
        <v>0.22220966287309429</v>
      </c>
      <c r="N182" s="6">
        <f t="shared" si="17"/>
        <v>-7.7790337126905695E-2</v>
      </c>
    </row>
    <row r="183" spans="1:14" x14ac:dyDescent="0.3">
      <c r="A183" s="4">
        <v>14</v>
      </c>
      <c r="B183" s="4" t="s">
        <v>39</v>
      </c>
      <c r="C183" s="5">
        <v>201.71</v>
      </c>
      <c r="D183" s="5">
        <v>53</v>
      </c>
      <c r="E183" s="5">
        <v>16</v>
      </c>
      <c r="F183" s="8">
        <v>30</v>
      </c>
      <c r="G183" s="5">
        <v>511.43</v>
      </c>
      <c r="H183" s="9">
        <v>0.1</v>
      </c>
      <c r="I183" s="5">
        <f t="shared" si="12"/>
        <v>460.28700000000003</v>
      </c>
      <c r="J183" s="5">
        <f t="shared" si="13"/>
        <v>51.142999999999972</v>
      </c>
      <c r="K183" s="5">
        <f t="shared" si="14"/>
        <v>259.34584178498989</v>
      </c>
      <c r="L183" s="5">
        <f t="shared" si="15"/>
        <v>57.635841784989879</v>
      </c>
      <c r="M183" s="6">
        <f t="shared" si="16"/>
        <v>0.22223545744285636</v>
      </c>
      <c r="N183" s="6">
        <f t="shared" si="17"/>
        <v>-7.7764542557143629E-2</v>
      </c>
    </row>
    <row r="184" spans="1:14" x14ac:dyDescent="0.3">
      <c r="A184" s="4">
        <v>14</v>
      </c>
      <c r="B184" s="4" t="s">
        <v>37</v>
      </c>
      <c r="C184" s="5">
        <v>84.52</v>
      </c>
      <c r="D184" s="5">
        <v>53</v>
      </c>
      <c r="E184" s="5">
        <v>16</v>
      </c>
      <c r="F184" s="8">
        <v>35.07</v>
      </c>
      <c r="G184" s="5">
        <v>231.03</v>
      </c>
      <c r="H184" s="9">
        <v>0.1</v>
      </c>
      <c r="I184" s="5">
        <f t="shared" si="12"/>
        <v>207.92699999999999</v>
      </c>
      <c r="J184" s="5">
        <f t="shared" si="13"/>
        <v>23.103000000000009</v>
      </c>
      <c r="K184" s="5">
        <f t="shared" si="14"/>
        <v>117.15517241379311</v>
      </c>
      <c r="L184" s="5">
        <f t="shared" si="15"/>
        <v>32.635172413793114</v>
      </c>
      <c r="M184" s="6">
        <f t="shared" si="16"/>
        <v>0.27856364974245779</v>
      </c>
      <c r="N184" s="6">
        <f t="shared" si="17"/>
        <v>-7.2136350257542226E-2</v>
      </c>
    </row>
    <row r="185" spans="1:14" x14ac:dyDescent="0.3">
      <c r="A185" s="4">
        <v>14</v>
      </c>
      <c r="B185" s="4" t="s">
        <v>47</v>
      </c>
      <c r="C185" s="5">
        <v>78</v>
      </c>
      <c r="D185" s="5">
        <v>27</v>
      </c>
      <c r="E185" s="5">
        <v>16</v>
      </c>
      <c r="F185" s="8">
        <v>32.409999999999997</v>
      </c>
      <c r="G185" s="5">
        <v>170.01</v>
      </c>
      <c r="H185" s="9">
        <v>0.1</v>
      </c>
      <c r="I185" s="5">
        <f t="shared" si="12"/>
        <v>153.00899999999999</v>
      </c>
      <c r="J185" s="5">
        <f t="shared" si="13"/>
        <v>17.001000000000005</v>
      </c>
      <c r="K185" s="5">
        <f t="shared" si="14"/>
        <v>103.86166168884063</v>
      </c>
      <c r="L185" s="5">
        <f t="shared" si="15"/>
        <v>25.861661688840627</v>
      </c>
      <c r="M185" s="6">
        <f t="shared" si="16"/>
        <v>0.24900103915455959</v>
      </c>
      <c r="N185" s="6">
        <f t="shared" si="17"/>
        <v>-7.5098960845440349E-2</v>
      </c>
    </row>
    <row r="186" spans="1:14" x14ac:dyDescent="0.3">
      <c r="A186" s="4">
        <v>14</v>
      </c>
      <c r="B186" s="4" t="s">
        <v>191</v>
      </c>
      <c r="C186" s="5">
        <v>355.53</v>
      </c>
      <c r="D186" s="5">
        <v>53</v>
      </c>
      <c r="E186" s="5">
        <v>16</v>
      </c>
      <c r="F186" s="8">
        <v>33.9</v>
      </c>
      <c r="G186" s="5">
        <v>954.61</v>
      </c>
      <c r="H186" s="9">
        <v>0.1</v>
      </c>
      <c r="I186" s="5">
        <f t="shared" si="12"/>
        <v>859.149</v>
      </c>
      <c r="J186" s="5">
        <f t="shared" si="13"/>
        <v>95.461000000000013</v>
      </c>
      <c r="K186" s="5">
        <f t="shared" si="14"/>
        <v>484.08215010141987</v>
      </c>
      <c r="L186" s="5">
        <f t="shared" si="15"/>
        <v>128.5521501014199</v>
      </c>
      <c r="M186" s="6">
        <f t="shared" si="16"/>
        <v>0.26555854223190628</v>
      </c>
      <c r="N186" s="6">
        <f t="shared" si="17"/>
        <v>-7.3441457768093688E-2</v>
      </c>
    </row>
    <row r="187" spans="1:14" x14ac:dyDescent="0.3">
      <c r="A187" s="4">
        <v>14</v>
      </c>
      <c r="B187" s="4" t="s">
        <v>193</v>
      </c>
      <c r="C187" s="5">
        <v>122.16</v>
      </c>
      <c r="D187" s="5">
        <v>27</v>
      </c>
      <c r="E187" s="5">
        <v>16</v>
      </c>
      <c r="F187" s="8">
        <v>30.44</v>
      </c>
      <c r="G187" s="5">
        <v>265.61</v>
      </c>
      <c r="H187" s="9">
        <v>0.1</v>
      </c>
      <c r="I187" s="5">
        <f t="shared" si="12"/>
        <v>239.04900000000001</v>
      </c>
      <c r="J187" s="5">
        <f t="shared" si="13"/>
        <v>26.561000000000007</v>
      </c>
      <c r="K187" s="5">
        <f t="shared" si="14"/>
        <v>162.26513711648116</v>
      </c>
      <c r="L187" s="5">
        <f t="shared" si="15"/>
        <v>40.10513711648116</v>
      </c>
      <c r="M187" s="6">
        <f t="shared" si="16"/>
        <v>0.24715806382791827</v>
      </c>
      <c r="N187" s="6">
        <f t="shared" si="17"/>
        <v>-5.7241936172081731E-2</v>
      </c>
    </row>
    <row r="188" spans="1:14" x14ac:dyDescent="0.3">
      <c r="A188" s="4">
        <v>14</v>
      </c>
      <c r="B188" s="4" t="s">
        <v>194</v>
      </c>
      <c r="C188" s="5">
        <v>27.29</v>
      </c>
      <c r="D188" s="5">
        <v>0</v>
      </c>
      <c r="E188" s="5">
        <v>16</v>
      </c>
      <c r="F188" s="8">
        <v>35.24</v>
      </c>
      <c r="G188" s="5">
        <v>48.88</v>
      </c>
      <c r="H188" s="9">
        <v>0.1</v>
      </c>
      <c r="I188" s="5">
        <f t="shared" si="12"/>
        <v>43.992000000000004</v>
      </c>
      <c r="J188" s="5">
        <f t="shared" si="13"/>
        <v>4.8879999999999981</v>
      </c>
      <c r="K188" s="5">
        <f t="shared" si="14"/>
        <v>37.924137931034487</v>
      </c>
      <c r="L188" s="5">
        <f t="shared" si="15"/>
        <v>10.634137931034488</v>
      </c>
      <c r="M188" s="6">
        <f t="shared" si="16"/>
        <v>0.2804055282778688</v>
      </c>
      <c r="N188" s="6">
        <f t="shared" si="17"/>
        <v>-7.1994471722131248E-2</v>
      </c>
    </row>
    <row r="189" spans="1:14" x14ac:dyDescent="0.3">
      <c r="A189" s="4">
        <v>14</v>
      </c>
      <c r="B189" s="4" t="s">
        <v>48</v>
      </c>
      <c r="C189" s="5">
        <v>37.32</v>
      </c>
      <c r="D189" s="5">
        <v>0</v>
      </c>
      <c r="E189" s="5">
        <v>16</v>
      </c>
      <c r="F189" s="8">
        <v>30.18</v>
      </c>
      <c r="G189" s="5">
        <v>62</v>
      </c>
      <c r="H189" s="9">
        <v>0.1</v>
      </c>
      <c r="I189" s="5">
        <f t="shared" si="12"/>
        <v>55.800000000000004</v>
      </c>
      <c r="J189" s="5">
        <f t="shared" si="13"/>
        <v>6.1999999999999957</v>
      </c>
      <c r="K189" s="5">
        <f t="shared" si="14"/>
        <v>48.103448275862078</v>
      </c>
      <c r="L189" s="5">
        <f t="shared" si="15"/>
        <v>10.783448275862078</v>
      </c>
      <c r="M189" s="6">
        <f t="shared" si="16"/>
        <v>0.22417204301075283</v>
      </c>
      <c r="N189" s="6">
        <f t="shared" si="17"/>
        <v>-7.7627956989247182E-2</v>
      </c>
    </row>
    <row r="190" spans="1:14" x14ac:dyDescent="0.3">
      <c r="A190" s="4">
        <v>14</v>
      </c>
      <c r="B190" s="4" t="s">
        <v>49</v>
      </c>
      <c r="C190" s="5">
        <v>191.66</v>
      </c>
      <c r="D190" s="5">
        <v>30</v>
      </c>
      <c r="E190" s="5">
        <v>16</v>
      </c>
      <c r="F190" s="8">
        <v>32.06</v>
      </c>
      <c r="G190" s="5">
        <v>425.41</v>
      </c>
      <c r="H190" s="9">
        <v>0.1</v>
      </c>
      <c r="I190" s="5">
        <f t="shared" si="12"/>
        <v>382.86900000000003</v>
      </c>
      <c r="J190" s="5">
        <f t="shared" si="13"/>
        <v>42.540999999999997</v>
      </c>
      <c r="K190" s="5">
        <f t="shared" si="14"/>
        <v>253.89190981432361</v>
      </c>
      <c r="L190" s="5">
        <f t="shared" si="15"/>
        <v>62.231909814323615</v>
      </c>
      <c r="M190" s="6">
        <f t="shared" si="16"/>
        <v>0.24511182676058915</v>
      </c>
      <c r="N190" s="6">
        <f t="shared" si="17"/>
        <v>-7.5488173239410844E-2</v>
      </c>
    </row>
    <row r="191" spans="1:14" x14ac:dyDescent="0.3">
      <c r="A191" s="4">
        <v>14</v>
      </c>
      <c r="B191" s="4" t="s">
        <v>50</v>
      </c>
      <c r="C191" s="5">
        <v>135.63</v>
      </c>
      <c r="D191" s="5">
        <v>27</v>
      </c>
      <c r="E191" s="5">
        <v>16</v>
      </c>
      <c r="F191" s="8">
        <v>32.17</v>
      </c>
      <c r="G191" s="5">
        <v>302.42</v>
      </c>
      <c r="H191" s="9">
        <v>0.1</v>
      </c>
      <c r="I191" s="5">
        <f t="shared" si="12"/>
        <v>272.178</v>
      </c>
      <c r="J191" s="5">
        <f t="shared" si="13"/>
        <v>30.242000000000019</v>
      </c>
      <c r="K191" s="5">
        <f t="shared" si="14"/>
        <v>184.75291881618247</v>
      </c>
      <c r="L191" s="5">
        <f t="shared" si="15"/>
        <v>49.122918816182477</v>
      </c>
      <c r="M191" s="6">
        <f t="shared" si="16"/>
        <v>0.26588439917994849</v>
      </c>
      <c r="N191" s="6">
        <f t="shared" si="17"/>
        <v>-5.5815600820051547E-2</v>
      </c>
    </row>
    <row r="192" spans="1:14" x14ac:dyDescent="0.3">
      <c r="A192" s="4">
        <v>14</v>
      </c>
      <c r="B192" s="4" t="s">
        <v>40</v>
      </c>
      <c r="C192" s="5">
        <v>156.06</v>
      </c>
      <c r="D192" s="5">
        <v>27</v>
      </c>
      <c r="E192" s="5">
        <v>16</v>
      </c>
      <c r="F192" s="8">
        <v>33.049999999999997</v>
      </c>
      <c r="G192" s="5">
        <v>343.4</v>
      </c>
      <c r="H192" s="9">
        <v>0.1</v>
      </c>
      <c r="I192" s="5">
        <f t="shared" si="12"/>
        <v>309.06</v>
      </c>
      <c r="J192" s="5">
        <f t="shared" si="13"/>
        <v>34.339999999999975</v>
      </c>
      <c r="K192" s="5">
        <f t="shared" si="14"/>
        <v>209.78821612815642</v>
      </c>
      <c r="L192" s="5">
        <f t="shared" si="15"/>
        <v>53.728216128156419</v>
      </c>
      <c r="M192" s="6">
        <f t="shared" si="16"/>
        <v>0.25610693069306939</v>
      </c>
      <c r="N192" s="6">
        <f t="shared" si="17"/>
        <v>-7.439306930693057E-2</v>
      </c>
    </row>
    <row r="193" spans="1:14" x14ac:dyDescent="0.3">
      <c r="A193" s="4">
        <v>14</v>
      </c>
      <c r="B193" s="4" t="s">
        <v>51</v>
      </c>
      <c r="C193" s="5">
        <v>135.61000000000001</v>
      </c>
      <c r="D193" s="5">
        <v>27</v>
      </c>
      <c r="E193" s="5">
        <v>16</v>
      </c>
      <c r="F193" s="8">
        <v>33.950000000000003</v>
      </c>
      <c r="G193" s="5">
        <v>302.45999999999998</v>
      </c>
      <c r="H193" s="9">
        <v>0.1</v>
      </c>
      <c r="I193" s="5">
        <f t="shared" si="12"/>
        <v>272.214</v>
      </c>
      <c r="J193" s="5">
        <f t="shared" si="13"/>
        <v>30.245999999999981</v>
      </c>
      <c r="K193" s="5">
        <f t="shared" si="14"/>
        <v>184.77735541677981</v>
      </c>
      <c r="L193" s="5">
        <f t="shared" si="15"/>
        <v>49.167355416779799</v>
      </c>
      <c r="M193" s="6">
        <f t="shared" si="16"/>
        <v>0.26608972352634325</v>
      </c>
      <c r="N193" s="6">
        <f t="shared" si="17"/>
        <v>-7.3410276473656777E-2</v>
      </c>
    </row>
    <row r="194" spans="1:14" x14ac:dyDescent="0.3">
      <c r="A194" s="4">
        <v>14</v>
      </c>
      <c r="B194" s="4" t="s">
        <v>45</v>
      </c>
      <c r="C194" s="5">
        <v>207.92</v>
      </c>
      <c r="D194" s="5">
        <v>53</v>
      </c>
      <c r="E194" s="5">
        <v>16</v>
      </c>
      <c r="F194" s="8">
        <v>30.88</v>
      </c>
      <c r="G194" s="5">
        <v>533.88</v>
      </c>
      <c r="H194" s="9">
        <v>0.1</v>
      </c>
      <c r="I194" s="5">
        <f t="shared" ref="I194:I257" si="18">G194*(1-H194)</f>
        <v>480.49200000000002</v>
      </c>
      <c r="J194" s="5">
        <f t="shared" ref="J194:J257" si="19">G194-I194</f>
        <v>53.387999999999977</v>
      </c>
      <c r="K194" s="5">
        <f t="shared" ref="K194:K239" si="20">I194/((1+D194/100)*(1+E194/100))</f>
        <v>270.73022312373229</v>
      </c>
      <c r="L194" s="5">
        <f t="shared" ref="L194:L257" si="21">K194-C194</f>
        <v>62.8102231237323</v>
      </c>
      <c r="M194" s="6">
        <f t="shared" ref="M194:M257" si="22">IF(K194=0,0,L194/K194)</f>
        <v>0.2320029969281488</v>
      </c>
      <c r="N194" s="6">
        <f t="shared" ref="N194:N257" si="23">M194-F194/100</f>
        <v>-7.6797003071851166E-2</v>
      </c>
    </row>
    <row r="195" spans="1:14" x14ac:dyDescent="0.3">
      <c r="A195" s="4">
        <v>14</v>
      </c>
      <c r="B195" s="4" t="s">
        <v>52</v>
      </c>
      <c r="C195" s="5">
        <v>224.82</v>
      </c>
      <c r="D195" s="5">
        <v>53</v>
      </c>
      <c r="E195" s="5">
        <v>16</v>
      </c>
      <c r="F195" s="8">
        <v>31.41</v>
      </c>
      <c r="G195" s="5">
        <v>581.73</v>
      </c>
      <c r="H195" s="9">
        <v>0.1</v>
      </c>
      <c r="I195" s="5">
        <f t="shared" si="18"/>
        <v>523.55700000000002</v>
      </c>
      <c r="J195" s="5">
        <f t="shared" si="19"/>
        <v>58.173000000000002</v>
      </c>
      <c r="K195" s="5">
        <f t="shared" si="20"/>
        <v>294.99492900608521</v>
      </c>
      <c r="L195" s="5">
        <f t="shared" si="21"/>
        <v>70.174929006085222</v>
      </c>
      <c r="M195" s="6">
        <f t="shared" si="22"/>
        <v>0.23788520447630351</v>
      </c>
      <c r="N195" s="6">
        <f t="shared" si="23"/>
        <v>-7.6214795523696477E-2</v>
      </c>
    </row>
    <row r="196" spans="1:14" x14ac:dyDescent="0.3">
      <c r="A196" s="4">
        <v>14</v>
      </c>
      <c r="B196" s="4" t="s">
        <v>41</v>
      </c>
      <c r="C196" s="5">
        <v>76.06</v>
      </c>
      <c r="D196" s="5">
        <v>53</v>
      </c>
      <c r="E196" s="5">
        <v>16</v>
      </c>
      <c r="F196" s="8">
        <v>30</v>
      </c>
      <c r="G196" s="5">
        <v>192.85</v>
      </c>
      <c r="H196" s="9">
        <v>0.1</v>
      </c>
      <c r="I196" s="5">
        <f t="shared" si="18"/>
        <v>173.565</v>
      </c>
      <c r="J196" s="5">
        <f t="shared" si="19"/>
        <v>19.284999999999997</v>
      </c>
      <c r="K196" s="5">
        <f t="shared" si="20"/>
        <v>97.794117647058826</v>
      </c>
      <c r="L196" s="5">
        <f t="shared" si="21"/>
        <v>21.734117647058824</v>
      </c>
      <c r="M196" s="6">
        <f t="shared" si="22"/>
        <v>0.22224360902255638</v>
      </c>
      <c r="N196" s="6">
        <f t="shared" si="23"/>
        <v>-7.7756390977443607E-2</v>
      </c>
    </row>
    <row r="197" spans="1:14" x14ac:dyDescent="0.3">
      <c r="A197" s="4">
        <v>14</v>
      </c>
      <c r="B197" s="4" t="s">
        <v>195</v>
      </c>
      <c r="C197" s="5">
        <v>63.79</v>
      </c>
      <c r="D197" s="5">
        <v>27</v>
      </c>
      <c r="E197" s="5">
        <v>16</v>
      </c>
      <c r="F197" s="8">
        <v>31.77</v>
      </c>
      <c r="G197" s="5">
        <v>141.38999999999999</v>
      </c>
      <c r="H197" s="9">
        <v>0.1</v>
      </c>
      <c r="I197" s="5">
        <f t="shared" si="18"/>
        <v>127.25099999999999</v>
      </c>
      <c r="J197" s="5">
        <f t="shared" si="19"/>
        <v>14.138999999999996</v>
      </c>
      <c r="K197" s="5">
        <f t="shared" si="20"/>
        <v>86.377273961444473</v>
      </c>
      <c r="L197" s="5">
        <f t="shared" si="21"/>
        <v>22.587273961444474</v>
      </c>
      <c r="M197" s="6">
        <f t="shared" si="22"/>
        <v>0.26149556388554901</v>
      </c>
      <c r="N197" s="6">
        <f t="shared" si="23"/>
        <v>-5.6204436114450973E-2</v>
      </c>
    </row>
    <row r="198" spans="1:14" x14ac:dyDescent="0.3">
      <c r="A198" s="4">
        <v>14</v>
      </c>
      <c r="B198" s="4" t="s">
        <v>56</v>
      </c>
      <c r="C198" s="5">
        <v>132.03</v>
      </c>
      <c r="D198" s="5">
        <v>27</v>
      </c>
      <c r="E198" s="5">
        <v>16</v>
      </c>
      <c r="F198" s="8">
        <v>31.26</v>
      </c>
      <c r="G198" s="5">
        <v>290.49</v>
      </c>
      <c r="H198" s="9">
        <v>0.1</v>
      </c>
      <c r="I198" s="5">
        <f t="shared" si="18"/>
        <v>261.44100000000003</v>
      </c>
      <c r="J198" s="5">
        <f t="shared" si="19"/>
        <v>29.048999999999978</v>
      </c>
      <c r="K198" s="5">
        <f t="shared" si="20"/>
        <v>177.46470268802611</v>
      </c>
      <c r="L198" s="5">
        <f t="shared" si="21"/>
        <v>45.434702688026107</v>
      </c>
      <c r="M198" s="6">
        <f t="shared" si="22"/>
        <v>0.25602106785087281</v>
      </c>
      <c r="N198" s="6">
        <f t="shared" si="23"/>
        <v>-5.6578932149127181E-2</v>
      </c>
    </row>
    <row r="199" spans="1:14" x14ac:dyDescent="0.3">
      <c r="A199" s="4">
        <v>14</v>
      </c>
      <c r="B199" s="4" t="s">
        <v>58</v>
      </c>
      <c r="C199" s="5">
        <v>76.05</v>
      </c>
      <c r="D199" s="5">
        <v>27</v>
      </c>
      <c r="E199" s="5">
        <v>16</v>
      </c>
      <c r="F199" s="8">
        <v>31.13</v>
      </c>
      <c r="G199" s="5">
        <v>167.01</v>
      </c>
      <c r="H199" s="9">
        <v>0.1</v>
      </c>
      <c r="I199" s="5">
        <f t="shared" si="18"/>
        <v>150.309</v>
      </c>
      <c r="J199" s="5">
        <f t="shared" si="19"/>
        <v>16.700999999999993</v>
      </c>
      <c r="K199" s="5">
        <f t="shared" si="20"/>
        <v>102.02891664404019</v>
      </c>
      <c r="L199" s="5">
        <f t="shared" si="21"/>
        <v>25.978916644040197</v>
      </c>
      <c r="M199" s="6">
        <f t="shared" si="22"/>
        <v>0.25462307646248739</v>
      </c>
      <c r="N199" s="6">
        <f t="shared" si="23"/>
        <v>-5.667692353751258E-2</v>
      </c>
    </row>
    <row r="200" spans="1:14" x14ac:dyDescent="0.3">
      <c r="A200" s="4">
        <v>14</v>
      </c>
      <c r="B200" s="4" t="s">
        <v>59</v>
      </c>
      <c r="C200" s="5">
        <v>80.959999999999994</v>
      </c>
      <c r="D200" s="5">
        <v>27</v>
      </c>
      <c r="E200" s="5">
        <v>16</v>
      </c>
      <c r="F200" s="8">
        <v>32.090000000000003</v>
      </c>
      <c r="G200" s="5">
        <v>180.31</v>
      </c>
      <c r="H200" s="9">
        <v>0.1</v>
      </c>
      <c r="I200" s="5">
        <f t="shared" si="18"/>
        <v>162.279</v>
      </c>
      <c r="J200" s="5">
        <f t="shared" si="19"/>
        <v>18.031000000000006</v>
      </c>
      <c r="K200" s="5">
        <f t="shared" si="20"/>
        <v>110.15408634265545</v>
      </c>
      <c r="L200" s="5">
        <f t="shared" si="21"/>
        <v>29.194086342655453</v>
      </c>
      <c r="M200" s="6">
        <f t="shared" si="22"/>
        <v>0.26502953555296749</v>
      </c>
      <c r="N200" s="6">
        <f t="shared" si="23"/>
        <v>-5.5870464447032531E-2</v>
      </c>
    </row>
    <row r="201" spans="1:14" x14ac:dyDescent="0.3">
      <c r="A201" s="4">
        <v>14</v>
      </c>
      <c r="B201" s="4" t="s">
        <v>196</v>
      </c>
      <c r="C201" s="5">
        <v>129.05000000000001</v>
      </c>
      <c r="D201" s="5">
        <v>53</v>
      </c>
      <c r="E201" s="5">
        <v>16</v>
      </c>
      <c r="F201" s="8">
        <v>32.71</v>
      </c>
      <c r="G201" s="5">
        <v>349</v>
      </c>
      <c r="H201" s="9">
        <v>0.1</v>
      </c>
      <c r="I201" s="5">
        <f t="shared" si="18"/>
        <v>314.10000000000002</v>
      </c>
      <c r="J201" s="5">
        <f t="shared" si="19"/>
        <v>34.899999999999977</v>
      </c>
      <c r="K201" s="5">
        <f t="shared" si="20"/>
        <v>176.97768762677487</v>
      </c>
      <c r="L201" s="5">
        <f t="shared" si="21"/>
        <v>47.927687626774855</v>
      </c>
      <c r="M201" s="6">
        <f t="shared" si="22"/>
        <v>0.27081203438395418</v>
      </c>
      <c r="N201" s="6">
        <f t="shared" si="23"/>
        <v>-5.6287965616045821E-2</v>
      </c>
    </row>
    <row r="202" spans="1:14" x14ac:dyDescent="0.3">
      <c r="A202" s="4">
        <v>14</v>
      </c>
      <c r="B202" s="4" t="s">
        <v>46</v>
      </c>
      <c r="C202" s="5">
        <v>115.18</v>
      </c>
      <c r="D202" s="5">
        <v>27</v>
      </c>
      <c r="E202" s="5">
        <v>16</v>
      </c>
      <c r="F202" s="8">
        <v>30.37</v>
      </c>
      <c r="G202" s="5">
        <v>243.7</v>
      </c>
      <c r="H202" s="9">
        <v>0.1</v>
      </c>
      <c r="I202" s="5">
        <f t="shared" si="18"/>
        <v>219.32999999999998</v>
      </c>
      <c r="J202" s="5">
        <f t="shared" si="19"/>
        <v>24.370000000000005</v>
      </c>
      <c r="K202" s="5">
        <f t="shared" si="20"/>
        <v>148.87998913928863</v>
      </c>
      <c r="L202" s="5">
        <f t="shared" si="21"/>
        <v>33.699989139288618</v>
      </c>
      <c r="M202" s="6">
        <f t="shared" si="22"/>
        <v>0.22635674098390549</v>
      </c>
      <c r="N202" s="6">
        <f t="shared" si="23"/>
        <v>-7.734325901609454E-2</v>
      </c>
    </row>
    <row r="203" spans="1:14" x14ac:dyDescent="0.3">
      <c r="A203" s="4">
        <v>14</v>
      </c>
      <c r="B203" s="4" t="s">
        <v>197</v>
      </c>
      <c r="C203" s="5">
        <v>87.92</v>
      </c>
      <c r="D203" s="5">
        <v>27</v>
      </c>
      <c r="E203" s="5">
        <v>16</v>
      </c>
      <c r="F203" s="8">
        <v>39.28</v>
      </c>
      <c r="G203" s="5">
        <v>219</v>
      </c>
      <c r="H203" s="9">
        <v>0.1</v>
      </c>
      <c r="I203" s="5">
        <f t="shared" si="18"/>
        <v>197.1</v>
      </c>
      <c r="J203" s="5">
        <f t="shared" si="19"/>
        <v>21.900000000000006</v>
      </c>
      <c r="K203" s="5">
        <f t="shared" si="20"/>
        <v>133.79038827043172</v>
      </c>
      <c r="L203" s="5">
        <f t="shared" si="21"/>
        <v>45.870388270431718</v>
      </c>
      <c r="M203" s="6">
        <f t="shared" si="22"/>
        <v>0.34285264332825977</v>
      </c>
      <c r="N203" s="6">
        <f t="shared" si="23"/>
        <v>-4.9947356671740273E-2</v>
      </c>
    </row>
    <row r="204" spans="1:14" x14ac:dyDescent="0.3">
      <c r="A204" s="4">
        <v>14</v>
      </c>
      <c r="B204" s="4" t="s">
        <v>42</v>
      </c>
      <c r="C204" s="5">
        <v>108.36</v>
      </c>
      <c r="D204" s="5">
        <v>27</v>
      </c>
      <c r="E204" s="5">
        <v>16</v>
      </c>
      <c r="F204" s="8">
        <v>33.21</v>
      </c>
      <c r="G204" s="5">
        <v>239.01</v>
      </c>
      <c r="H204" s="9">
        <v>0.1</v>
      </c>
      <c r="I204" s="5">
        <f t="shared" si="18"/>
        <v>215.10900000000001</v>
      </c>
      <c r="J204" s="5">
        <f t="shared" si="19"/>
        <v>23.900999999999982</v>
      </c>
      <c r="K204" s="5">
        <f t="shared" si="20"/>
        <v>146.01479771925062</v>
      </c>
      <c r="L204" s="5">
        <f t="shared" si="21"/>
        <v>37.654797719250624</v>
      </c>
      <c r="M204" s="6">
        <f t="shared" si="22"/>
        <v>0.25788343583950468</v>
      </c>
      <c r="N204" s="6">
        <f t="shared" si="23"/>
        <v>-7.4216564160495324E-2</v>
      </c>
    </row>
    <row r="205" spans="1:14" x14ac:dyDescent="0.3">
      <c r="A205" s="4">
        <v>14</v>
      </c>
      <c r="B205" s="4" t="s">
        <v>60</v>
      </c>
      <c r="C205" s="5">
        <v>75</v>
      </c>
      <c r="D205" s="5">
        <v>27</v>
      </c>
      <c r="E205" s="5">
        <v>16</v>
      </c>
      <c r="F205" s="8">
        <v>32.67</v>
      </c>
      <c r="G205" s="5">
        <v>168.47</v>
      </c>
      <c r="H205" s="9">
        <v>0.1</v>
      </c>
      <c r="I205" s="5">
        <f t="shared" si="18"/>
        <v>151.62299999999999</v>
      </c>
      <c r="J205" s="5">
        <f t="shared" si="19"/>
        <v>16.847000000000008</v>
      </c>
      <c r="K205" s="5">
        <f t="shared" si="20"/>
        <v>102.92085256584306</v>
      </c>
      <c r="L205" s="5">
        <f t="shared" si="21"/>
        <v>27.920852565843063</v>
      </c>
      <c r="M205" s="6">
        <f t="shared" si="22"/>
        <v>0.27128469955085971</v>
      </c>
      <c r="N205" s="6">
        <f t="shared" si="23"/>
        <v>-5.5415300449140281E-2</v>
      </c>
    </row>
    <row r="206" spans="1:14" x14ac:dyDescent="0.3">
      <c r="A206" s="4">
        <v>14</v>
      </c>
      <c r="B206" s="4" t="s">
        <v>62</v>
      </c>
      <c r="C206" s="5">
        <v>351.67</v>
      </c>
      <c r="D206" s="5">
        <v>0</v>
      </c>
      <c r="E206" s="5">
        <v>16</v>
      </c>
      <c r="F206" s="8">
        <v>35.450000000000003</v>
      </c>
      <c r="G206" s="5">
        <v>631.97</v>
      </c>
      <c r="H206" s="9">
        <v>0.1</v>
      </c>
      <c r="I206" s="5">
        <f t="shared" si="18"/>
        <v>568.77300000000002</v>
      </c>
      <c r="J206" s="5">
        <f t="shared" si="19"/>
        <v>63.197000000000003</v>
      </c>
      <c r="K206" s="5">
        <f t="shared" si="20"/>
        <v>490.32155172413798</v>
      </c>
      <c r="L206" s="5">
        <f t="shared" si="21"/>
        <v>138.65155172413796</v>
      </c>
      <c r="M206" s="6">
        <f t="shared" si="22"/>
        <v>0.28277678441135573</v>
      </c>
      <c r="N206" s="6">
        <f t="shared" si="23"/>
        <v>-7.1723215588644307E-2</v>
      </c>
    </row>
    <row r="207" spans="1:14" x14ac:dyDescent="0.3">
      <c r="A207" s="4">
        <v>14</v>
      </c>
      <c r="B207" s="4" t="s">
        <v>63</v>
      </c>
      <c r="C207" s="5">
        <v>235.11</v>
      </c>
      <c r="D207" s="5">
        <v>27</v>
      </c>
      <c r="E207" s="5">
        <v>16</v>
      </c>
      <c r="F207" s="8">
        <v>30.14</v>
      </c>
      <c r="G207" s="5">
        <v>508.98</v>
      </c>
      <c r="H207" s="9">
        <v>0.1</v>
      </c>
      <c r="I207" s="5">
        <f t="shared" si="18"/>
        <v>458.08200000000005</v>
      </c>
      <c r="J207" s="5">
        <f t="shared" si="19"/>
        <v>50.897999999999968</v>
      </c>
      <c r="K207" s="5">
        <f t="shared" si="20"/>
        <v>310.94352430084177</v>
      </c>
      <c r="L207" s="5">
        <f t="shared" si="21"/>
        <v>75.833524300841759</v>
      </c>
      <c r="M207" s="6">
        <f t="shared" si="22"/>
        <v>0.24388198619461157</v>
      </c>
      <c r="N207" s="6">
        <f t="shared" si="23"/>
        <v>-5.7518013805388429E-2</v>
      </c>
    </row>
    <row r="208" spans="1:14" x14ac:dyDescent="0.3">
      <c r="A208" s="4">
        <v>14</v>
      </c>
      <c r="B208" s="4" t="s">
        <v>64</v>
      </c>
      <c r="C208" s="5">
        <v>93.29</v>
      </c>
      <c r="D208" s="5">
        <v>27</v>
      </c>
      <c r="E208" s="5">
        <v>16</v>
      </c>
      <c r="F208" s="8">
        <v>32.71</v>
      </c>
      <c r="G208" s="5">
        <v>209.68</v>
      </c>
      <c r="H208" s="9">
        <v>0.1</v>
      </c>
      <c r="I208" s="5">
        <f t="shared" si="18"/>
        <v>188.71200000000002</v>
      </c>
      <c r="J208" s="5">
        <f t="shared" si="19"/>
        <v>20.967999999999989</v>
      </c>
      <c r="K208" s="5">
        <f t="shared" si="20"/>
        <v>128.09666033125171</v>
      </c>
      <c r="L208" s="5">
        <f t="shared" si="21"/>
        <v>34.806660331251706</v>
      </c>
      <c r="M208" s="6">
        <f t="shared" si="22"/>
        <v>0.27172184068845651</v>
      </c>
      <c r="N208" s="6">
        <f t="shared" si="23"/>
        <v>-5.5378159311543496E-2</v>
      </c>
    </row>
    <row r="209" spans="1:14" x14ac:dyDescent="0.3">
      <c r="A209" s="4">
        <v>14</v>
      </c>
      <c r="B209" s="4" t="s">
        <v>65</v>
      </c>
      <c r="C209" s="5">
        <v>93.23</v>
      </c>
      <c r="D209" s="5">
        <v>27</v>
      </c>
      <c r="E209" s="5">
        <v>16</v>
      </c>
      <c r="F209" s="8">
        <v>31.72</v>
      </c>
      <c r="G209" s="5">
        <v>201.15</v>
      </c>
      <c r="H209" s="9">
        <v>0.1</v>
      </c>
      <c r="I209" s="5">
        <f t="shared" si="18"/>
        <v>181.035</v>
      </c>
      <c r="J209" s="5">
        <f t="shared" si="19"/>
        <v>20.115000000000009</v>
      </c>
      <c r="K209" s="5">
        <f t="shared" si="20"/>
        <v>122.88555525386914</v>
      </c>
      <c r="L209" s="5">
        <f t="shared" si="21"/>
        <v>29.655555253869139</v>
      </c>
      <c r="M209" s="6">
        <f t="shared" si="22"/>
        <v>0.24132661640014366</v>
      </c>
      <c r="N209" s="6">
        <f t="shared" si="23"/>
        <v>-7.587338359985632E-2</v>
      </c>
    </row>
    <row r="210" spans="1:14" x14ac:dyDescent="0.3">
      <c r="A210" s="4">
        <v>14</v>
      </c>
      <c r="B210" s="4" t="s">
        <v>67</v>
      </c>
      <c r="C210" s="5">
        <v>51.72</v>
      </c>
      <c r="D210" s="5">
        <v>0</v>
      </c>
      <c r="E210" s="5">
        <v>16</v>
      </c>
      <c r="F210" s="8">
        <v>32.53</v>
      </c>
      <c r="G210" s="5">
        <v>88.93</v>
      </c>
      <c r="H210" s="9">
        <v>0.1</v>
      </c>
      <c r="I210" s="5">
        <f t="shared" si="18"/>
        <v>80.037000000000006</v>
      </c>
      <c r="J210" s="5">
        <f t="shared" si="19"/>
        <v>8.8930000000000007</v>
      </c>
      <c r="K210" s="5">
        <f t="shared" si="20"/>
        <v>68.997413793103462</v>
      </c>
      <c r="L210" s="5">
        <f t="shared" si="21"/>
        <v>17.277413793103463</v>
      </c>
      <c r="M210" s="6">
        <f t="shared" si="22"/>
        <v>0.25040668690730555</v>
      </c>
      <c r="N210" s="6">
        <f t="shared" si="23"/>
        <v>-7.489331309269448E-2</v>
      </c>
    </row>
    <row r="211" spans="1:14" x14ac:dyDescent="0.3">
      <c r="A211" s="4">
        <v>14</v>
      </c>
      <c r="B211" s="4" t="s">
        <v>68</v>
      </c>
      <c r="C211" s="5">
        <v>101.55</v>
      </c>
      <c r="D211" s="5">
        <v>27</v>
      </c>
      <c r="E211" s="5">
        <v>16</v>
      </c>
      <c r="F211" s="8">
        <v>31.95</v>
      </c>
      <c r="G211" s="5">
        <v>225.7</v>
      </c>
      <c r="H211" s="9">
        <v>0.1</v>
      </c>
      <c r="I211" s="5">
        <f t="shared" si="18"/>
        <v>203.13</v>
      </c>
      <c r="J211" s="5">
        <f t="shared" si="19"/>
        <v>22.569999999999993</v>
      </c>
      <c r="K211" s="5">
        <f t="shared" si="20"/>
        <v>137.88351887048603</v>
      </c>
      <c r="L211" s="5">
        <f t="shared" si="21"/>
        <v>36.333518870486031</v>
      </c>
      <c r="M211" s="6">
        <f t="shared" si="22"/>
        <v>0.26350878747600065</v>
      </c>
      <c r="N211" s="6">
        <f t="shared" si="23"/>
        <v>-5.5991212523999356E-2</v>
      </c>
    </row>
    <row r="212" spans="1:14" x14ac:dyDescent="0.3">
      <c r="A212" s="4">
        <v>14</v>
      </c>
      <c r="B212" s="4" t="s">
        <v>198</v>
      </c>
      <c r="C212" s="5">
        <v>81.099999999999994</v>
      </c>
      <c r="D212" s="5">
        <v>27</v>
      </c>
      <c r="E212" s="5">
        <v>16</v>
      </c>
      <c r="F212" s="8">
        <v>31.48</v>
      </c>
      <c r="G212" s="5">
        <v>179.01</v>
      </c>
      <c r="H212" s="9">
        <v>0.1</v>
      </c>
      <c r="I212" s="5">
        <f t="shared" si="18"/>
        <v>161.10900000000001</v>
      </c>
      <c r="J212" s="5">
        <f t="shared" si="19"/>
        <v>17.900999999999982</v>
      </c>
      <c r="K212" s="5">
        <f t="shared" si="20"/>
        <v>109.35989682324194</v>
      </c>
      <c r="L212" s="5">
        <f t="shared" si="21"/>
        <v>28.259896823241945</v>
      </c>
      <c r="M212" s="6">
        <f t="shared" si="22"/>
        <v>0.25841188263846232</v>
      </c>
      <c r="N212" s="6">
        <f t="shared" si="23"/>
        <v>-5.6388117361537704E-2</v>
      </c>
    </row>
    <row r="213" spans="1:14" x14ac:dyDescent="0.3">
      <c r="A213" s="4">
        <v>14</v>
      </c>
      <c r="B213" s="4" t="s">
        <v>75</v>
      </c>
      <c r="C213" s="5">
        <v>446.06</v>
      </c>
      <c r="D213" s="5">
        <v>53</v>
      </c>
      <c r="E213" s="5">
        <v>16</v>
      </c>
      <c r="F213" s="8">
        <v>35.58</v>
      </c>
      <c r="G213" s="5">
        <v>1260.07</v>
      </c>
      <c r="H213" s="9">
        <v>0.1</v>
      </c>
      <c r="I213" s="5">
        <f t="shared" si="18"/>
        <v>1134.0629999999999</v>
      </c>
      <c r="J213" s="5">
        <f t="shared" si="19"/>
        <v>126.00700000000006</v>
      </c>
      <c r="K213" s="5">
        <f t="shared" si="20"/>
        <v>638.98073022312371</v>
      </c>
      <c r="L213" s="5">
        <f t="shared" si="21"/>
        <v>192.92073022312371</v>
      </c>
      <c r="M213" s="6">
        <f t="shared" si="22"/>
        <v>0.30191948066377261</v>
      </c>
      <c r="N213" s="6">
        <f t="shared" si="23"/>
        <v>-5.3880519336227395E-2</v>
      </c>
    </row>
    <row r="214" spans="1:14" x14ac:dyDescent="0.3">
      <c r="A214" s="4">
        <v>14</v>
      </c>
      <c r="B214" s="4" t="s">
        <v>94</v>
      </c>
      <c r="C214" s="5">
        <v>89.21</v>
      </c>
      <c r="D214" s="5">
        <v>53</v>
      </c>
      <c r="E214" s="5">
        <v>16</v>
      </c>
      <c r="F214" s="8">
        <v>30</v>
      </c>
      <c r="G214" s="5">
        <v>226.18</v>
      </c>
      <c r="H214" s="9">
        <v>0.1</v>
      </c>
      <c r="I214" s="5">
        <f t="shared" si="18"/>
        <v>203.56200000000001</v>
      </c>
      <c r="J214" s="5">
        <f t="shared" si="19"/>
        <v>22.617999999999995</v>
      </c>
      <c r="K214" s="5">
        <f t="shared" si="20"/>
        <v>114.69574036511158</v>
      </c>
      <c r="L214" s="5">
        <f t="shared" si="21"/>
        <v>25.485740365111582</v>
      </c>
      <c r="M214" s="6">
        <f t="shared" si="22"/>
        <v>0.22220302414006557</v>
      </c>
      <c r="N214" s="6">
        <f t="shared" si="23"/>
        <v>-7.779697585993442E-2</v>
      </c>
    </row>
    <row r="215" spans="1:14" x14ac:dyDescent="0.3">
      <c r="A215" s="4">
        <v>14</v>
      </c>
      <c r="B215" s="4" t="s">
        <v>135</v>
      </c>
      <c r="C215" s="5">
        <v>203.73</v>
      </c>
      <c r="D215" s="5">
        <v>27</v>
      </c>
      <c r="E215" s="5">
        <v>16</v>
      </c>
      <c r="F215" s="8">
        <v>31.57</v>
      </c>
      <c r="G215" s="5">
        <v>450.27</v>
      </c>
      <c r="H215" s="9">
        <v>0.1</v>
      </c>
      <c r="I215" s="5">
        <f t="shared" si="18"/>
        <v>405.24299999999999</v>
      </c>
      <c r="J215" s="5">
        <f t="shared" si="19"/>
        <v>45.026999999999987</v>
      </c>
      <c r="K215" s="5">
        <f t="shared" si="20"/>
        <v>275.07670377409721</v>
      </c>
      <c r="L215" s="5">
        <f t="shared" si="21"/>
        <v>71.346703774097222</v>
      </c>
      <c r="M215" s="6">
        <f t="shared" si="22"/>
        <v>0.25937021490809226</v>
      </c>
      <c r="N215" s="6">
        <f t="shared" si="23"/>
        <v>-5.6329785091907725E-2</v>
      </c>
    </row>
    <row r="216" spans="1:14" x14ac:dyDescent="0.3">
      <c r="A216" s="4">
        <v>14</v>
      </c>
      <c r="B216" s="4" t="s">
        <v>44</v>
      </c>
      <c r="C216" s="5">
        <v>268.23</v>
      </c>
      <c r="D216" s="5">
        <v>30</v>
      </c>
      <c r="E216" s="5">
        <v>16</v>
      </c>
      <c r="F216" s="8">
        <v>30</v>
      </c>
      <c r="G216" s="5">
        <v>577.85</v>
      </c>
      <c r="H216" s="9">
        <v>0.1</v>
      </c>
      <c r="I216" s="5">
        <f t="shared" si="18"/>
        <v>520.06500000000005</v>
      </c>
      <c r="J216" s="5">
        <f t="shared" si="19"/>
        <v>57.784999999999968</v>
      </c>
      <c r="K216" s="5">
        <f t="shared" si="20"/>
        <v>344.87068965517244</v>
      </c>
      <c r="L216" s="5">
        <f t="shared" si="21"/>
        <v>76.640689655172423</v>
      </c>
      <c r="M216" s="6">
        <f t="shared" si="22"/>
        <v>0.22223022122234723</v>
      </c>
      <c r="N216" s="6">
        <f t="shared" si="23"/>
        <v>-7.7769778777652759E-2</v>
      </c>
    </row>
    <row r="217" spans="1:14" x14ac:dyDescent="0.3">
      <c r="A217" s="4">
        <v>14</v>
      </c>
      <c r="B217" s="4" t="s">
        <v>141</v>
      </c>
      <c r="C217" s="5">
        <v>108.18</v>
      </c>
      <c r="D217" s="5">
        <v>53</v>
      </c>
      <c r="E217" s="5">
        <v>16</v>
      </c>
      <c r="F217" s="8">
        <v>34.18</v>
      </c>
      <c r="G217" s="5">
        <v>299.10000000000002</v>
      </c>
      <c r="H217" s="9">
        <v>0.1</v>
      </c>
      <c r="I217" s="5">
        <f t="shared" si="18"/>
        <v>269.19000000000005</v>
      </c>
      <c r="J217" s="5">
        <f t="shared" si="19"/>
        <v>29.909999999999968</v>
      </c>
      <c r="K217" s="5">
        <f t="shared" si="20"/>
        <v>151.67342799188646</v>
      </c>
      <c r="L217" s="5">
        <f t="shared" si="21"/>
        <v>43.493427991886449</v>
      </c>
      <c r="M217" s="6">
        <f t="shared" si="22"/>
        <v>0.28675707121364108</v>
      </c>
      <c r="N217" s="6">
        <f t="shared" si="23"/>
        <v>-5.5042928786358913E-2</v>
      </c>
    </row>
    <row r="218" spans="1:14" x14ac:dyDescent="0.3">
      <c r="A218" s="4">
        <v>14</v>
      </c>
      <c r="B218" s="4" t="s">
        <v>149</v>
      </c>
      <c r="C218" s="5">
        <v>183.99</v>
      </c>
      <c r="D218" s="5">
        <v>27</v>
      </c>
      <c r="E218" s="5">
        <v>16</v>
      </c>
      <c r="F218" s="8">
        <v>34.659999999999997</v>
      </c>
      <c r="G218" s="5">
        <v>425.88</v>
      </c>
      <c r="H218" s="9">
        <v>0.1</v>
      </c>
      <c r="I218" s="5">
        <f t="shared" si="18"/>
        <v>383.29200000000003</v>
      </c>
      <c r="J218" s="5">
        <f t="shared" si="19"/>
        <v>42.587999999999965</v>
      </c>
      <c r="K218" s="5">
        <f t="shared" si="20"/>
        <v>260.17648655986972</v>
      </c>
      <c r="L218" s="5">
        <f t="shared" si="21"/>
        <v>76.186486559869707</v>
      </c>
      <c r="M218" s="6">
        <f t="shared" si="22"/>
        <v>0.29282617951848727</v>
      </c>
      <c r="N218" s="6">
        <f t="shared" si="23"/>
        <v>-5.3773820481512691E-2</v>
      </c>
    </row>
    <row r="219" spans="1:14" x14ac:dyDescent="0.3">
      <c r="A219" s="4">
        <v>14</v>
      </c>
      <c r="B219" s="4" t="s">
        <v>157</v>
      </c>
      <c r="C219" s="5">
        <v>53.09</v>
      </c>
      <c r="D219" s="5">
        <v>27</v>
      </c>
      <c r="E219" s="5">
        <v>16</v>
      </c>
      <c r="F219" s="8">
        <v>34.19</v>
      </c>
      <c r="G219" s="5">
        <v>122.01</v>
      </c>
      <c r="H219" s="9">
        <v>0.1</v>
      </c>
      <c r="I219" s="5">
        <f t="shared" si="18"/>
        <v>109.80900000000001</v>
      </c>
      <c r="J219" s="5">
        <f t="shared" si="19"/>
        <v>12.200999999999993</v>
      </c>
      <c r="K219" s="5">
        <f t="shared" si="20"/>
        <v>74.537740972033689</v>
      </c>
      <c r="L219" s="5">
        <f t="shared" si="21"/>
        <v>21.447740972033685</v>
      </c>
      <c r="M219" s="6">
        <f t="shared" si="22"/>
        <v>0.2877433725833039</v>
      </c>
      <c r="N219" s="6">
        <f t="shared" si="23"/>
        <v>-5.4156627416696079E-2</v>
      </c>
    </row>
    <row r="220" spans="1:14" x14ac:dyDescent="0.3">
      <c r="A220" s="4">
        <v>14</v>
      </c>
      <c r="B220" s="4" t="s">
        <v>164</v>
      </c>
      <c r="C220" s="5">
        <v>204.82</v>
      </c>
      <c r="D220" s="5">
        <v>53</v>
      </c>
      <c r="E220" s="5">
        <v>16</v>
      </c>
      <c r="F220" s="8">
        <v>30.83</v>
      </c>
      <c r="G220" s="5">
        <v>538.86</v>
      </c>
      <c r="H220" s="9">
        <v>0.1</v>
      </c>
      <c r="I220" s="5">
        <f t="shared" si="18"/>
        <v>484.97400000000005</v>
      </c>
      <c r="J220" s="5">
        <f t="shared" si="19"/>
        <v>53.885999999999967</v>
      </c>
      <c r="K220" s="5">
        <f t="shared" si="20"/>
        <v>273.25557809330633</v>
      </c>
      <c r="L220" s="5">
        <f t="shared" si="21"/>
        <v>68.435578093306333</v>
      </c>
      <c r="M220" s="6">
        <f t="shared" si="22"/>
        <v>0.25044531047025215</v>
      </c>
      <c r="N220" s="6">
        <f t="shared" si="23"/>
        <v>-5.7854689529747816E-2</v>
      </c>
    </row>
    <row r="221" spans="1:14" x14ac:dyDescent="0.3">
      <c r="A221" s="4">
        <v>14</v>
      </c>
      <c r="B221" s="4" t="s">
        <v>166</v>
      </c>
      <c r="C221" s="5">
        <v>486.3</v>
      </c>
      <c r="D221" s="5">
        <v>53</v>
      </c>
      <c r="E221" s="5">
        <v>16</v>
      </c>
      <c r="F221" s="8">
        <v>31.66</v>
      </c>
      <c r="G221" s="5">
        <v>1294.95</v>
      </c>
      <c r="H221" s="9">
        <v>0.1</v>
      </c>
      <c r="I221" s="5">
        <f t="shared" si="18"/>
        <v>1165.4550000000002</v>
      </c>
      <c r="J221" s="5">
        <f t="shared" si="19"/>
        <v>129.49499999999989</v>
      </c>
      <c r="K221" s="5">
        <f t="shared" si="20"/>
        <v>656.66835699797173</v>
      </c>
      <c r="L221" s="5">
        <f t="shared" si="21"/>
        <v>170.36835699797172</v>
      </c>
      <c r="M221" s="6">
        <f t="shared" si="22"/>
        <v>0.25944353063824871</v>
      </c>
      <c r="N221" s="6">
        <f t="shared" si="23"/>
        <v>-5.7156469361751283E-2</v>
      </c>
    </row>
    <row r="222" spans="1:14" x14ac:dyDescent="0.3">
      <c r="A222" s="4">
        <v>14</v>
      </c>
      <c r="B222" s="4" t="s">
        <v>168</v>
      </c>
      <c r="C222" s="5">
        <v>87.2</v>
      </c>
      <c r="D222" s="5">
        <v>27</v>
      </c>
      <c r="E222" s="5">
        <v>16</v>
      </c>
      <c r="F222" s="8">
        <v>30.63</v>
      </c>
      <c r="G222" s="5">
        <v>190.11</v>
      </c>
      <c r="H222" s="9">
        <v>0.1</v>
      </c>
      <c r="I222" s="5">
        <f t="shared" si="18"/>
        <v>171.09900000000002</v>
      </c>
      <c r="J222" s="5">
        <f t="shared" si="19"/>
        <v>19.010999999999996</v>
      </c>
      <c r="K222" s="5">
        <f t="shared" si="20"/>
        <v>116.14105348900355</v>
      </c>
      <c r="L222" s="5">
        <f t="shared" si="21"/>
        <v>28.941053489003551</v>
      </c>
      <c r="M222" s="6">
        <f t="shared" si="22"/>
        <v>0.24918883219656468</v>
      </c>
      <c r="N222" s="6">
        <f t="shared" si="23"/>
        <v>-5.7111167803435336E-2</v>
      </c>
    </row>
    <row r="223" spans="1:14" x14ac:dyDescent="0.3">
      <c r="A223" s="4">
        <v>14</v>
      </c>
      <c r="B223" s="4" t="s">
        <v>169</v>
      </c>
      <c r="C223" s="5">
        <v>100.67</v>
      </c>
      <c r="D223" s="5">
        <v>27</v>
      </c>
      <c r="E223" s="5">
        <v>16</v>
      </c>
      <c r="F223" s="8">
        <v>31.91</v>
      </c>
      <c r="G223" s="5">
        <v>223.61</v>
      </c>
      <c r="H223" s="9">
        <v>0.1</v>
      </c>
      <c r="I223" s="5">
        <f t="shared" si="18"/>
        <v>201.24900000000002</v>
      </c>
      <c r="J223" s="5">
        <f t="shared" si="19"/>
        <v>22.36099999999999</v>
      </c>
      <c r="K223" s="5">
        <f t="shared" si="20"/>
        <v>136.60670648927507</v>
      </c>
      <c r="L223" s="5">
        <f t="shared" si="21"/>
        <v>35.936706489275068</v>
      </c>
      <c r="M223" s="6">
        <f t="shared" si="22"/>
        <v>0.26306692704063134</v>
      </c>
      <c r="N223" s="6">
        <f t="shared" si="23"/>
        <v>-5.6033072959368657E-2</v>
      </c>
    </row>
    <row r="224" spans="1:14" x14ac:dyDescent="0.3">
      <c r="A224" s="4">
        <v>14</v>
      </c>
      <c r="B224" s="4" t="s">
        <v>170</v>
      </c>
      <c r="C224" s="5">
        <v>16.93</v>
      </c>
      <c r="D224" s="5">
        <v>27</v>
      </c>
      <c r="E224" s="5">
        <v>16</v>
      </c>
      <c r="F224" s="8">
        <v>31.61</v>
      </c>
      <c r="G224" s="5">
        <v>37.450000000000003</v>
      </c>
      <c r="H224" s="9">
        <v>0.1</v>
      </c>
      <c r="I224" s="5">
        <f t="shared" si="18"/>
        <v>33.705000000000005</v>
      </c>
      <c r="J224" s="5">
        <f t="shared" si="19"/>
        <v>3.7449999999999974</v>
      </c>
      <c r="K224" s="5">
        <f t="shared" si="20"/>
        <v>22.878767309258762</v>
      </c>
      <c r="L224" s="5">
        <f t="shared" si="21"/>
        <v>5.9487673092587627</v>
      </c>
      <c r="M224" s="6">
        <f t="shared" si="22"/>
        <v>0.26001257973594444</v>
      </c>
      <c r="N224" s="6">
        <f t="shared" si="23"/>
        <v>-5.6087420264055554E-2</v>
      </c>
    </row>
    <row r="225" spans="1:14" x14ac:dyDescent="0.3">
      <c r="A225" s="4">
        <v>14</v>
      </c>
      <c r="B225" s="4" t="s">
        <v>171</v>
      </c>
      <c r="C225" s="5">
        <v>30.14</v>
      </c>
      <c r="D225" s="5">
        <v>27</v>
      </c>
      <c r="E225" s="5">
        <v>16</v>
      </c>
      <c r="F225" s="8">
        <v>31.86</v>
      </c>
      <c r="G225" s="5">
        <v>66.89</v>
      </c>
      <c r="H225" s="9">
        <v>0.1</v>
      </c>
      <c r="I225" s="5">
        <f t="shared" si="18"/>
        <v>60.201000000000001</v>
      </c>
      <c r="J225" s="5">
        <f t="shared" si="19"/>
        <v>6.6890000000000001</v>
      </c>
      <c r="K225" s="5">
        <f t="shared" si="20"/>
        <v>40.86410534890036</v>
      </c>
      <c r="L225" s="5">
        <f t="shared" si="21"/>
        <v>10.724105348900359</v>
      </c>
      <c r="M225" s="6">
        <f t="shared" si="22"/>
        <v>0.26243338150529072</v>
      </c>
      <c r="N225" s="6">
        <f t="shared" si="23"/>
        <v>-5.6166618494709275E-2</v>
      </c>
    </row>
    <row r="226" spans="1:14" x14ac:dyDescent="0.3">
      <c r="A226" s="4">
        <v>14</v>
      </c>
      <c r="B226" s="4" t="s">
        <v>172</v>
      </c>
      <c r="C226" s="5">
        <v>21.56</v>
      </c>
      <c r="D226" s="5">
        <v>0</v>
      </c>
      <c r="E226" s="5">
        <v>16</v>
      </c>
      <c r="F226" s="8">
        <v>35.9</v>
      </c>
      <c r="G226" s="5">
        <v>39.01</v>
      </c>
      <c r="H226" s="9">
        <v>0.1</v>
      </c>
      <c r="I226" s="5">
        <f t="shared" si="18"/>
        <v>35.109000000000002</v>
      </c>
      <c r="J226" s="5">
        <f t="shared" si="19"/>
        <v>3.9009999999999962</v>
      </c>
      <c r="K226" s="5">
        <f t="shared" si="20"/>
        <v>30.266379310344831</v>
      </c>
      <c r="L226" s="5">
        <f t="shared" si="21"/>
        <v>8.7063793103448326</v>
      </c>
      <c r="M226" s="6">
        <f t="shared" si="22"/>
        <v>0.28765843515907613</v>
      </c>
      <c r="N226" s="6">
        <f t="shared" si="23"/>
        <v>-7.1341564840923855E-2</v>
      </c>
    </row>
    <row r="227" spans="1:14" x14ac:dyDescent="0.3">
      <c r="A227" s="4">
        <v>14</v>
      </c>
      <c r="B227" s="4" t="s">
        <v>173</v>
      </c>
      <c r="C227" s="5">
        <v>31.9</v>
      </c>
      <c r="D227" s="5">
        <v>0</v>
      </c>
      <c r="E227" s="5">
        <v>16</v>
      </c>
      <c r="F227" s="8">
        <v>33.950000000000003</v>
      </c>
      <c r="G227" s="5">
        <v>56.03</v>
      </c>
      <c r="H227" s="9">
        <v>0.1</v>
      </c>
      <c r="I227" s="5">
        <f t="shared" si="18"/>
        <v>50.427</v>
      </c>
      <c r="J227" s="5">
        <f t="shared" si="19"/>
        <v>5.6030000000000015</v>
      </c>
      <c r="K227" s="5">
        <f t="shared" si="20"/>
        <v>43.471551724137932</v>
      </c>
      <c r="L227" s="5">
        <f t="shared" si="21"/>
        <v>11.571551724137933</v>
      </c>
      <c r="M227" s="6">
        <f t="shared" si="22"/>
        <v>0.26618676502667227</v>
      </c>
      <c r="N227" s="6">
        <f t="shared" si="23"/>
        <v>-7.3313234973327757E-2</v>
      </c>
    </row>
    <row r="228" spans="1:14" x14ac:dyDescent="0.3">
      <c r="A228" s="4">
        <v>14</v>
      </c>
      <c r="B228" s="4" t="s">
        <v>177</v>
      </c>
      <c r="C228" s="5">
        <v>26.72</v>
      </c>
      <c r="D228" s="5">
        <v>0</v>
      </c>
      <c r="E228" s="5">
        <v>16</v>
      </c>
      <c r="F228" s="8">
        <v>34.090000000000003</v>
      </c>
      <c r="G228" s="5">
        <v>47.03</v>
      </c>
      <c r="H228" s="9">
        <v>0.1</v>
      </c>
      <c r="I228" s="5">
        <f t="shared" si="18"/>
        <v>42.327000000000005</v>
      </c>
      <c r="J228" s="5">
        <f t="shared" si="19"/>
        <v>4.7029999999999959</v>
      </c>
      <c r="K228" s="5">
        <f t="shared" si="20"/>
        <v>36.48879310344828</v>
      </c>
      <c r="L228" s="5">
        <f t="shared" si="21"/>
        <v>9.7687931034482816</v>
      </c>
      <c r="M228" s="6">
        <f t="shared" si="22"/>
        <v>0.2677203676140526</v>
      </c>
      <c r="N228" s="6">
        <f t="shared" si="23"/>
        <v>-7.3179632385947435E-2</v>
      </c>
    </row>
    <row r="229" spans="1:14" x14ac:dyDescent="0.3">
      <c r="A229" s="4">
        <v>14</v>
      </c>
      <c r="B229" s="4" t="s">
        <v>199</v>
      </c>
      <c r="C229" s="5">
        <v>494.03</v>
      </c>
      <c r="D229" s="5">
        <v>30</v>
      </c>
      <c r="E229" s="5">
        <v>16</v>
      </c>
      <c r="F229" s="8">
        <v>35.36</v>
      </c>
      <c r="G229" s="5">
        <v>1186.93</v>
      </c>
      <c r="H229" s="9">
        <v>0.1</v>
      </c>
      <c r="I229" s="5">
        <f t="shared" si="18"/>
        <v>1068.2370000000001</v>
      </c>
      <c r="J229" s="5">
        <f t="shared" si="19"/>
        <v>118.69299999999998</v>
      </c>
      <c r="K229" s="5">
        <f t="shared" si="20"/>
        <v>708.37997347480109</v>
      </c>
      <c r="L229" s="5">
        <f t="shared" si="21"/>
        <v>214.34997347480112</v>
      </c>
      <c r="M229" s="6">
        <f t="shared" si="22"/>
        <v>0.30259180312982986</v>
      </c>
      <c r="N229" s="6">
        <f t="shared" si="23"/>
        <v>-5.1008196870170108E-2</v>
      </c>
    </row>
    <row r="230" spans="1:14" x14ac:dyDescent="0.3">
      <c r="A230" s="4">
        <v>14</v>
      </c>
      <c r="B230" s="4" t="s">
        <v>179</v>
      </c>
      <c r="C230" s="5">
        <v>122</v>
      </c>
      <c r="D230" s="5">
        <v>27</v>
      </c>
      <c r="E230" s="5">
        <v>16</v>
      </c>
      <c r="F230" s="8">
        <v>36.15</v>
      </c>
      <c r="G230" s="5">
        <v>288.97000000000003</v>
      </c>
      <c r="H230" s="9">
        <v>0.1</v>
      </c>
      <c r="I230" s="5">
        <f t="shared" si="18"/>
        <v>260.07300000000004</v>
      </c>
      <c r="J230" s="5">
        <f t="shared" si="19"/>
        <v>28.896999999999991</v>
      </c>
      <c r="K230" s="5">
        <f t="shared" si="20"/>
        <v>176.53611186532723</v>
      </c>
      <c r="L230" s="5">
        <f t="shared" si="21"/>
        <v>54.536111865327229</v>
      </c>
      <c r="M230" s="6">
        <f t="shared" si="22"/>
        <v>0.30892326385284152</v>
      </c>
      <c r="N230" s="6">
        <f t="shared" si="23"/>
        <v>-5.2576736147158465E-2</v>
      </c>
    </row>
    <row r="231" spans="1:14" x14ac:dyDescent="0.3">
      <c r="A231" s="4">
        <v>14</v>
      </c>
      <c r="B231" s="4" t="s">
        <v>181</v>
      </c>
      <c r="C231" s="5">
        <v>108.36</v>
      </c>
      <c r="D231" s="5">
        <v>27</v>
      </c>
      <c r="E231" s="5">
        <v>16</v>
      </c>
      <c r="F231" s="8">
        <v>35.15</v>
      </c>
      <c r="G231" s="5">
        <v>252.71</v>
      </c>
      <c r="H231" s="9">
        <v>0.1</v>
      </c>
      <c r="I231" s="5">
        <f t="shared" si="18"/>
        <v>227.43900000000002</v>
      </c>
      <c r="J231" s="5">
        <f t="shared" si="19"/>
        <v>25.270999999999987</v>
      </c>
      <c r="K231" s="5">
        <f t="shared" si="20"/>
        <v>154.38433342383928</v>
      </c>
      <c r="L231" s="5">
        <f t="shared" si="21"/>
        <v>46.02433342383928</v>
      </c>
      <c r="M231" s="6">
        <f t="shared" si="22"/>
        <v>0.29811531003917541</v>
      </c>
      <c r="N231" s="6">
        <f t="shared" si="23"/>
        <v>-5.3384689960824572E-2</v>
      </c>
    </row>
    <row r="232" spans="1:14" x14ac:dyDescent="0.3">
      <c r="A232" s="4">
        <v>14</v>
      </c>
      <c r="B232" s="4" t="s">
        <v>182</v>
      </c>
      <c r="C232" s="5">
        <v>80.959999999999994</v>
      </c>
      <c r="D232" s="5">
        <v>27</v>
      </c>
      <c r="E232" s="5">
        <v>16</v>
      </c>
      <c r="F232" s="8">
        <v>31.29</v>
      </c>
      <c r="G232" s="5">
        <v>178.21</v>
      </c>
      <c r="H232" s="9">
        <v>0.1</v>
      </c>
      <c r="I232" s="5">
        <f t="shared" si="18"/>
        <v>160.38900000000001</v>
      </c>
      <c r="J232" s="5">
        <f t="shared" si="19"/>
        <v>17.820999999999998</v>
      </c>
      <c r="K232" s="5">
        <f t="shared" si="20"/>
        <v>108.87116481129516</v>
      </c>
      <c r="L232" s="5">
        <f t="shared" si="21"/>
        <v>27.911164811295166</v>
      </c>
      <c r="M232" s="6">
        <f t="shared" si="22"/>
        <v>0.25636875346813082</v>
      </c>
      <c r="N232" s="6">
        <f t="shared" si="23"/>
        <v>-5.6531246531869195E-2</v>
      </c>
    </row>
    <row r="233" spans="1:14" x14ac:dyDescent="0.3">
      <c r="A233" s="4">
        <v>14</v>
      </c>
      <c r="B233" s="4" t="s">
        <v>183</v>
      </c>
      <c r="C233" s="5">
        <v>78.02</v>
      </c>
      <c r="D233" s="5">
        <v>27</v>
      </c>
      <c r="E233" s="5">
        <v>16</v>
      </c>
      <c r="F233" s="8">
        <v>31.71</v>
      </c>
      <c r="G233" s="5">
        <v>172.79</v>
      </c>
      <c r="H233" s="9">
        <v>0.1</v>
      </c>
      <c r="I233" s="5">
        <f t="shared" si="18"/>
        <v>155.511</v>
      </c>
      <c r="J233" s="5">
        <f t="shared" si="19"/>
        <v>17.278999999999996</v>
      </c>
      <c r="K233" s="5">
        <f t="shared" si="20"/>
        <v>105.5600054303557</v>
      </c>
      <c r="L233" s="5">
        <f t="shared" si="21"/>
        <v>27.540005430355706</v>
      </c>
      <c r="M233" s="6">
        <f t="shared" si="22"/>
        <v>0.26089431615769959</v>
      </c>
      <c r="N233" s="6">
        <f t="shared" si="23"/>
        <v>-5.6205683842300402E-2</v>
      </c>
    </row>
    <row r="234" spans="1:14" x14ac:dyDescent="0.3">
      <c r="A234" s="4">
        <v>14</v>
      </c>
      <c r="B234" s="4" t="s">
        <v>184</v>
      </c>
      <c r="C234" s="5">
        <v>78.02</v>
      </c>
      <c r="D234" s="5">
        <v>27</v>
      </c>
      <c r="E234" s="5">
        <v>16</v>
      </c>
      <c r="F234" s="8">
        <v>31.71</v>
      </c>
      <c r="G234" s="5">
        <v>172.79</v>
      </c>
      <c r="H234" s="9">
        <v>0.1</v>
      </c>
      <c r="I234" s="5">
        <f t="shared" si="18"/>
        <v>155.511</v>
      </c>
      <c r="J234" s="5">
        <f t="shared" si="19"/>
        <v>17.278999999999996</v>
      </c>
      <c r="K234" s="5">
        <f t="shared" si="20"/>
        <v>105.5600054303557</v>
      </c>
      <c r="L234" s="5">
        <f t="shared" si="21"/>
        <v>27.540005430355706</v>
      </c>
      <c r="M234" s="6">
        <f t="shared" si="22"/>
        <v>0.26089431615769959</v>
      </c>
      <c r="N234" s="6">
        <f t="shared" si="23"/>
        <v>-5.6205683842300402E-2</v>
      </c>
    </row>
    <row r="235" spans="1:14" x14ac:dyDescent="0.3">
      <c r="A235" s="4">
        <v>14</v>
      </c>
      <c r="B235" s="4" t="s">
        <v>189</v>
      </c>
      <c r="C235" s="5">
        <v>915.6</v>
      </c>
      <c r="D235" s="5">
        <v>53</v>
      </c>
      <c r="E235" s="5">
        <v>16</v>
      </c>
      <c r="F235" s="8">
        <v>30.92</v>
      </c>
      <c r="G235" s="5">
        <v>2352.36</v>
      </c>
      <c r="H235" s="9">
        <v>0.1</v>
      </c>
      <c r="I235" s="5">
        <f t="shared" si="18"/>
        <v>2117.1240000000003</v>
      </c>
      <c r="J235" s="5">
        <f t="shared" si="19"/>
        <v>235.23599999999988</v>
      </c>
      <c r="K235" s="5">
        <f t="shared" si="20"/>
        <v>1192.8803245436106</v>
      </c>
      <c r="L235" s="5">
        <f t="shared" si="21"/>
        <v>277.28032454361062</v>
      </c>
      <c r="M235" s="6">
        <f t="shared" si="22"/>
        <v>0.23244605417538136</v>
      </c>
      <c r="N235" s="6">
        <f t="shared" si="23"/>
        <v>-7.6753945824618669E-2</v>
      </c>
    </row>
    <row r="236" spans="1:14" x14ac:dyDescent="0.3">
      <c r="A236" s="4">
        <v>14</v>
      </c>
      <c r="B236" s="4" t="s">
        <v>190</v>
      </c>
      <c r="C236" s="5">
        <v>282.29000000000002</v>
      </c>
      <c r="D236" s="5">
        <v>53</v>
      </c>
      <c r="E236" s="5">
        <v>16</v>
      </c>
      <c r="F236" s="8">
        <v>37.229999999999997</v>
      </c>
      <c r="G236" s="5">
        <v>798.16</v>
      </c>
      <c r="H236" s="9">
        <v>0.1</v>
      </c>
      <c r="I236" s="5">
        <f t="shared" si="18"/>
        <v>718.34399999999994</v>
      </c>
      <c r="J236" s="5">
        <f t="shared" si="19"/>
        <v>79.816000000000031</v>
      </c>
      <c r="K236" s="5">
        <f t="shared" si="20"/>
        <v>404.74645030425961</v>
      </c>
      <c r="L236" s="5">
        <f t="shared" si="21"/>
        <v>122.45645030425959</v>
      </c>
      <c r="M236" s="6">
        <f t="shared" si="22"/>
        <v>0.30255101733988166</v>
      </c>
      <c r="N236" s="6">
        <f t="shared" si="23"/>
        <v>-6.9748982660118308E-2</v>
      </c>
    </row>
    <row r="237" spans="1:14" x14ac:dyDescent="0.3">
      <c r="A237" s="4">
        <v>14</v>
      </c>
      <c r="B237" s="4" t="s">
        <v>192</v>
      </c>
      <c r="C237" s="5">
        <v>1076.18</v>
      </c>
      <c r="D237" s="5">
        <v>53</v>
      </c>
      <c r="E237" s="5">
        <v>16</v>
      </c>
      <c r="F237" s="8">
        <v>35.04</v>
      </c>
      <c r="G237" s="5">
        <v>2940.28</v>
      </c>
      <c r="H237" s="9">
        <v>0.1</v>
      </c>
      <c r="I237" s="5">
        <f t="shared" si="18"/>
        <v>2646.2520000000004</v>
      </c>
      <c r="J237" s="5">
        <f t="shared" si="19"/>
        <v>294.02799999999979</v>
      </c>
      <c r="K237" s="5">
        <f t="shared" si="20"/>
        <v>1491.0141987829618</v>
      </c>
      <c r="L237" s="5">
        <f t="shared" si="21"/>
        <v>414.83419878296172</v>
      </c>
      <c r="M237" s="6">
        <f t="shared" si="22"/>
        <v>0.27822283592038866</v>
      </c>
      <c r="N237" s="6">
        <f t="shared" si="23"/>
        <v>-7.2177164079611333E-2</v>
      </c>
    </row>
    <row r="238" spans="1:14" x14ac:dyDescent="0.3">
      <c r="A238" s="4"/>
      <c r="B238" s="4"/>
      <c r="C238" s="5"/>
      <c r="D238" s="5"/>
      <c r="E238" s="5"/>
      <c r="F238" s="8"/>
      <c r="G238" s="5"/>
      <c r="H238" s="9">
        <v>0.1</v>
      </c>
      <c r="I238" s="5">
        <f t="shared" si="18"/>
        <v>0</v>
      </c>
      <c r="J238" s="5">
        <f t="shared" si="19"/>
        <v>0</v>
      </c>
      <c r="K238" s="5">
        <f t="shared" si="20"/>
        <v>0</v>
      </c>
      <c r="L238" s="5">
        <f t="shared" si="21"/>
        <v>0</v>
      </c>
      <c r="M238" s="6">
        <f t="shared" si="22"/>
        <v>0</v>
      </c>
      <c r="N238" s="6">
        <f t="shared" si="23"/>
        <v>0</v>
      </c>
    </row>
    <row r="239" spans="1:14" ht="225" x14ac:dyDescent="0.3">
      <c r="A239" s="10" t="s">
        <v>200</v>
      </c>
      <c r="B239" s="4"/>
      <c r="C239" s="5"/>
      <c r="D239" s="5"/>
      <c r="E239" s="5"/>
      <c r="F239" s="8"/>
      <c r="G239" s="5"/>
      <c r="H239" s="9">
        <v>0.1</v>
      </c>
      <c r="I239" s="5">
        <f t="shared" si="18"/>
        <v>0</v>
      </c>
      <c r="J239" s="5">
        <f t="shared" si="19"/>
        <v>0</v>
      </c>
      <c r="K239" s="5">
        <f t="shared" si="20"/>
        <v>0</v>
      </c>
      <c r="L239" s="5">
        <f t="shared" si="21"/>
        <v>0</v>
      </c>
      <c r="M239" s="6">
        <f t="shared" si="22"/>
        <v>0</v>
      </c>
      <c r="N239" s="6">
        <f t="shared" si="23"/>
        <v>0</v>
      </c>
    </row>
    <row r="240" spans="1:14" x14ac:dyDescent="0.3">
      <c r="A240" s="11"/>
      <c r="B240" s="11" t="s">
        <v>201</v>
      </c>
      <c r="C240" s="11"/>
      <c r="D240" s="11"/>
      <c r="E240" s="11"/>
      <c r="F240" s="12">
        <f>AVERAGE(F2:F239)</f>
        <v>33.226694915254221</v>
      </c>
      <c r="G240" s="13">
        <f>SUM(G2:G239)</f>
        <v>102938.15999999999</v>
      </c>
      <c r="H240" s="11"/>
      <c r="I240" s="13">
        <f>SUM(I2:I239)</f>
        <v>92644.343999999954</v>
      </c>
      <c r="J240" s="13">
        <f>SUM(J2:J239)</f>
        <v>10293.816000000003</v>
      </c>
      <c r="K240" s="11"/>
      <c r="L240" s="13">
        <f>SUM(L2:L239)</f>
        <v>14888.818368583554</v>
      </c>
      <c r="M240" s="14">
        <f>IF(SUM(K2:K239)=0,0,SUM(L2:L239)/SUM(K2:K239))</f>
        <v>0.26261343493373446</v>
      </c>
      <c r="N240" s="11"/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N43"/>
  <sheetViews>
    <sheetView zoomScaleNormal="100" workbookViewId="0">
      <pane ySplit="1" topLeftCell="A2" activePane="bottomLeft" state="frozen"/>
      <selection pane="bottomLeft" activeCell="B41" sqref="B41"/>
    </sheetView>
  </sheetViews>
  <sheetFormatPr baseColWidth="10" defaultColWidth="8.6640625" defaultRowHeight="14.4" x14ac:dyDescent="0.3"/>
  <cols>
    <col min="1" max="1" width="10" customWidth="1"/>
    <col min="2" max="2" width="46" customWidth="1"/>
    <col min="3" max="3" width="12" customWidth="1"/>
    <col min="4" max="5" width="8" customWidth="1"/>
    <col min="6" max="6" width="10" customWidth="1"/>
    <col min="7" max="7" width="14" customWidth="1"/>
    <col min="8" max="8" width="11" customWidth="1"/>
    <col min="9" max="9" width="16" customWidth="1"/>
    <col min="10" max="10" width="14" customWidth="1"/>
    <col min="11" max="11" width="15" customWidth="1"/>
    <col min="12" max="12" width="14" customWidth="1"/>
    <col min="13" max="13" width="16" customWidth="1"/>
    <col min="14" max="14" width="14" customWidth="1"/>
  </cols>
  <sheetData>
    <row r="1" spans="1:14" ht="42" customHeight="1" x14ac:dyDescent="0.3">
      <c r="A1" s="7" t="s">
        <v>11</v>
      </c>
      <c r="B1" s="7" t="s">
        <v>12</v>
      </c>
      <c r="C1" s="7" t="s">
        <v>13</v>
      </c>
      <c r="D1" s="7" t="s">
        <v>14</v>
      </c>
      <c r="E1" s="7" t="s">
        <v>15</v>
      </c>
      <c r="F1" s="7" t="s">
        <v>16</v>
      </c>
      <c r="G1" s="7" t="s">
        <v>17</v>
      </c>
      <c r="H1" s="7" t="s">
        <v>18</v>
      </c>
      <c r="I1" s="7" t="s">
        <v>19</v>
      </c>
      <c r="J1" s="7" t="s">
        <v>20</v>
      </c>
      <c r="K1" s="7" t="s">
        <v>21</v>
      </c>
      <c r="L1" s="7" t="s">
        <v>22</v>
      </c>
      <c r="M1" s="7" t="s">
        <v>23</v>
      </c>
      <c r="N1" s="7" t="s">
        <v>24</v>
      </c>
    </row>
    <row r="2" spans="1:14" x14ac:dyDescent="0.3">
      <c r="A2" s="4">
        <v>9</v>
      </c>
      <c r="B2" s="4" t="s">
        <v>202</v>
      </c>
      <c r="C2" s="5">
        <v>29.75</v>
      </c>
      <c r="D2" s="5">
        <v>0</v>
      </c>
      <c r="E2" s="5">
        <v>16</v>
      </c>
      <c r="F2" s="8">
        <v>31.05</v>
      </c>
      <c r="G2" s="5">
        <v>50.05</v>
      </c>
      <c r="H2" s="9">
        <v>0.1</v>
      </c>
      <c r="I2" s="5">
        <f t="shared" ref="I2:I42" si="0">G2*(1-H2)</f>
        <v>45.045000000000002</v>
      </c>
      <c r="J2" s="5">
        <f t="shared" ref="J2:J42" si="1">G2-I2</f>
        <v>5.0049999999999955</v>
      </c>
      <c r="K2" s="5">
        <f t="shared" ref="K2:K42" si="2">I2/((1+D2/100)*(1+E2/100))</f>
        <v>38.831896551724142</v>
      </c>
      <c r="L2" s="5">
        <f t="shared" ref="L2:L42" si="3">K2-C2</f>
        <v>9.0818965517241423</v>
      </c>
      <c r="M2" s="6">
        <f t="shared" ref="M2:M42" si="4">IF(K2=0,0,L2/K2)</f>
        <v>0.23387723387723397</v>
      </c>
      <c r="N2" s="6">
        <f t="shared" ref="N2:N42" si="5">M2-F2/100</f>
        <v>-7.6622766122766028E-2</v>
      </c>
    </row>
    <row r="3" spans="1:14" x14ac:dyDescent="0.3">
      <c r="A3" s="4">
        <v>9</v>
      </c>
      <c r="B3" s="4" t="s">
        <v>203</v>
      </c>
      <c r="C3" s="5">
        <v>99.36</v>
      </c>
      <c r="D3" s="5">
        <v>0</v>
      </c>
      <c r="E3" s="5">
        <v>16</v>
      </c>
      <c r="F3" s="8">
        <v>35.369999999999997</v>
      </c>
      <c r="G3" s="5">
        <v>178.34</v>
      </c>
      <c r="H3" s="9">
        <v>0.1</v>
      </c>
      <c r="I3" s="5">
        <f t="shared" si="0"/>
        <v>160.506</v>
      </c>
      <c r="J3" s="5">
        <f t="shared" si="1"/>
        <v>17.834000000000003</v>
      </c>
      <c r="K3" s="5">
        <f t="shared" si="2"/>
        <v>138.36724137931034</v>
      </c>
      <c r="L3" s="5">
        <f t="shared" si="3"/>
        <v>39.007241379310344</v>
      </c>
      <c r="M3" s="6">
        <f t="shared" si="4"/>
        <v>0.28191095659975329</v>
      </c>
      <c r="N3" s="6">
        <f t="shared" si="5"/>
        <v>-7.1789043400246666E-2</v>
      </c>
    </row>
    <row r="4" spans="1:14" x14ac:dyDescent="0.3">
      <c r="A4" s="4">
        <v>9</v>
      </c>
      <c r="B4" s="4" t="s">
        <v>204</v>
      </c>
      <c r="C4" s="5">
        <v>38.659999999999997</v>
      </c>
      <c r="D4" s="5">
        <v>0</v>
      </c>
      <c r="E4" s="5">
        <v>16</v>
      </c>
      <c r="F4" s="8">
        <v>30.29</v>
      </c>
      <c r="G4" s="5">
        <v>64.33</v>
      </c>
      <c r="H4" s="9">
        <v>0.1</v>
      </c>
      <c r="I4" s="5">
        <f t="shared" si="0"/>
        <v>57.896999999999998</v>
      </c>
      <c r="J4" s="5">
        <f t="shared" si="1"/>
        <v>6.4329999999999998</v>
      </c>
      <c r="K4" s="5">
        <f t="shared" si="2"/>
        <v>49.911206896551725</v>
      </c>
      <c r="L4" s="5">
        <f t="shared" si="3"/>
        <v>11.251206896551729</v>
      </c>
      <c r="M4" s="6">
        <f t="shared" si="4"/>
        <v>0.22542446068017349</v>
      </c>
      <c r="N4" s="6">
        <f t="shared" si="5"/>
        <v>-7.7475539319826509E-2</v>
      </c>
    </row>
    <row r="5" spans="1:14" x14ac:dyDescent="0.3">
      <c r="A5" s="4">
        <v>9</v>
      </c>
      <c r="B5" s="4" t="s">
        <v>205</v>
      </c>
      <c r="C5" s="5">
        <v>47.67</v>
      </c>
      <c r="D5" s="5">
        <v>0</v>
      </c>
      <c r="E5" s="5">
        <v>16</v>
      </c>
      <c r="F5" s="8">
        <v>31.85</v>
      </c>
      <c r="G5" s="5">
        <v>81.14</v>
      </c>
      <c r="H5" s="9">
        <v>0.1</v>
      </c>
      <c r="I5" s="5">
        <f t="shared" si="0"/>
        <v>73.025999999999996</v>
      </c>
      <c r="J5" s="5">
        <f t="shared" si="1"/>
        <v>8.1140000000000043</v>
      </c>
      <c r="K5" s="5">
        <f t="shared" si="2"/>
        <v>62.953448275862073</v>
      </c>
      <c r="L5" s="5">
        <f t="shared" si="3"/>
        <v>15.283448275862071</v>
      </c>
      <c r="M5" s="6">
        <f t="shared" si="4"/>
        <v>0.24277380658943393</v>
      </c>
      <c r="N5" s="6">
        <f t="shared" si="5"/>
        <v>-7.5726193410566078E-2</v>
      </c>
    </row>
    <row r="6" spans="1:14" x14ac:dyDescent="0.3">
      <c r="A6" s="4">
        <v>9</v>
      </c>
      <c r="B6" s="4" t="s">
        <v>206</v>
      </c>
      <c r="C6" s="5">
        <v>19.79</v>
      </c>
      <c r="D6" s="5">
        <v>0</v>
      </c>
      <c r="E6" s="5">
        <v>16</v>
      </c>
      <c r="F6" s="8">
        <v>31.37</v>
      </c>
      <c r="G6" s="5">
        <v>33.450000000000003</v>
      </c>
      <c r="H6" s="9">
        <v>0.1</v>
      </c>
      <c r="I6" s="5">
        <f t="shared" si="0"/>
        <v>30.105000000000004</v>
      </c>
      <c r="J6" s="5">
        <f t="shared" si="1"/>
        <v>3.3449999999999989</v>
      </c>
      <c r="K6" s="5">
        <f t="shared" si="2"/>
        <v>25.952586206896559</v>
      </c>
      <c r="L6" s="5">
        <f t="shared" si="3"/>
        <v>6.1625862068965596</v>
      </c>
      <c r="M6" s="6">
        <f t="shared" si="4"/>
        <v>0.23745557216409258</v>
      </c>
      <c r="N6" s="6">
        <f t="shared" si="5"/>
        <v>-7.6244427835907458E-2</v>
      </c>
    </row>
    <row r="7" spans="1:14" x14ac:dyDescent="0.3">
      <c r="A7" s="4">
        <v>9</v>
      </c>
      <c r="B7" s="4" t="s">
        <v>207</v>
      </c>
      <c r="C7" s="5">
        <v>19.07</v>
      </c>
      <c r="D7" s="5">
        <v>0</v>
      </c>
      <c r="E7" s="5">
        <v>16</v>
      </c>
      <c r="F7" s="8">
        <v>34.15</v>
      </c>
      <c r="G7" s="5">
        <v>33.590000000000003</v>
      </c>
      <c r="H7" s="9">
        <v>0.1</v>
      </c>
      <c r="I7" s="5">
        <f t="shared" si="0"/>
        <v>30.231000000000005</v>
      </c>
      <c r="J7" s="5">
        <f t="shared" si="1"/>
        <v>3.3589999999999982</v>
      </c>
      <c r="K7" s="5">
        <f t="shared" si="2"/>
        <v>26.061206896551731</v>
      </c>
      <c r="L7" s="5">
        <f t="shared" si="3"/>
        <v>6.9912068965517307</v>
      </c>
      <c r="M7" s="6">
        <f t="shared" si="4"/>
        <v>0.26826105653137527</v>
      </c>
      <c r="N7" s="6">
        <f t="shared" si="5"/>
        <v>-7.3238943468624695E-2</v>
      </c>
    </row>
    <row r="8" spans="1:14" x14ac:dyDescent="0.3">
      <c r="A8" s="4">
        <v>9</v>
      </c>
      <c r="B8" s="4" t="s">
        <v>208</v>
      </c>
      <c r="C8" s="5">
        <v>12.44</v>
      </c>
      <c r="D8" s="5">
        <v>0</v>
      </c>
      <c r="E8" s="5">
        <v>16</v>
      </c>
      <c r="F8" s="8">
        <v>34.9</v>
      </c>
      <c r="G8" s="5">
        <v>22.17</v>
      </c>
      <c r="H8" s="9">
        <v>0.1</v>
      </c>
      <c r="I8" s="5">
        <f t="shared" si="0"/>
        <v>19.953000000000003</v>
      </c>
      <c r="J8" s="5">
        <f t="shared" si="1"/>
        <v>2.2169999999999987</v>
      </c>
      <c r="K8" s="5">
        <f t="shared" si="2"/>
        <v>17.20086206896552</v>
      </c>
      <c r="L8" s="5">
        <f t="shared" si="3"/>
        <v>4.7608620689655208</v>
      </c>
      <c r="M8" s="6">
        <f t="shared" si="4"/>
        <v>0.27678043401994701</v>
      </c>
      <c r="N8" s="6">
        <f t="shared" si="5"/>
        <v>-7.2219565980052969E-2</v>
      </c>
    </row>
    <row r="9" spans="1:14" x14ac:dyDescent="0.3">
      <c r="A9" s="4">
        <v>9</v>
      </c>
      <c r="B9" s="4" t="s">
        <v>209</v>
      </c>
      <c r="C9" s="5">
        <v>36.950000000000003</v>
      </c>
      <c r="D9" s="5">
        <v>0</v>
      </c>
      <c r="E9" s="5">
        <v>16</v>
      </c>
      <c r="F9" s="8">
        <v>30.7</v>
      </c>
      <c r="G9" s="5">
        <v>61.85</v>
      </c>
      <c r="H9" s="9">
        <v>0.1</v>
      </c>
      <c r="I9" s="5">
        <f t="shared" si="0"/>
        <v>55.664999999999999</v>
      </c>
      <c r="J9" s="5">
        <f t="shared" si="1"/>
        <v>6.1850000000000023</v>
      </c>
      <c r="K9" s="5">
        <f t="shared" si="2"/>
        <v>47.987068965517246</v>
      </c>
      <c r="L9" s="5">
        <f t="shared" si="3"/>
        <v>11.037068965517243</v>
      </c>
      <c r="M9" s="6">
        <f t="shared" si="4"/>
        <v>0.23000089823048595</v>
      </c>
      <c r="N9" s="6">
        <f t="shared" si="5"/>
        <v>-7.699910176951405E-2</v>
      </c>
    </row>
    <row r="10" spans="1:14" x14ac:dyDescent="0.3">
      <c r="A10" s="4">
        <v>9</v>
      </c>
      <c r="B10" s="4" t="s">
        <v>210</v>
      </c>
      <c r="C10" s="5">
        <v>69.28</v>
      </c>
      <c r="D10" s="5">
        <v>0</v>
      </c>
      <c r="E10" s="5">
        <v>16</v>
      </c>
      <c r="F10" s="8">
        <v>30.31</v>
      </c>
      <c r="G10" s="5">
        <v>115.32</v>
      </c>
      <c r="H10" s="9">
        <v>0.1</v>
      </c>
      <c r="I10" s="5">
        <f t="shared" si="0"/>
        <v>103.788</v>
      </c>
      <c r="J10" s="5">
        <f t="shared" si="1"/>
        <v>11.531999999999996</v>
      </c>
      <c r="K10" s="5">
        <f t="shared" si="2"/>
        <v>89.472413793103456</v>
      </c>
      <c r="L10" s="5">
        <f t="shared" si="3"/>
        <v>20.192413793103455</v>
      </c>
      <c r="M10" s="6">
        <f t="shared" si="4"/>
        <v>0.22568312328978307</v>
      </c>
      <c r="N10" s="6">
        <f t="shared" si="5"/>
        <v>-7.7416876710216909E-2</v>
      </c>
    </row>
    <row r="11" spans="1:14" x14ac:dyDescent="0.3">
      <c r="A11" s="4">
        <v>9</v>
      </c>
      <c r="B11" s="4" t="s">
        <v>211</v>
      </c>
      <c r="C11" s="5">
        <v>43.43</v>
      </c>
      <c r="D11" s="5">
        <v>0</v>
      </c>
      <c r="E11" s="5">
        <v>16</v>
      </c>
      <c r="F11" s="8">
        <v>30.41</v>
      </c>
      <c r="G11" s="5">
        <v>72.400000000000006</v>
      </c>
      <c r="H11" s="9">
        <v>0.1</v>
      </c>
      <c r="I11" s="5">
        <f t="shared" si="0"/>
        <v>65.160000000000011</v>
      </c>
      <c r="J11" s="5">
        <f t="shared" si="1"/>
        <v>7.2399999999999949</v>
      </c>
      <c r="K11" s="5">
        <f t="shared" si="2"/>
        <v>56.172413793103459</v>
      </c>
      <c r="L11" s="5">
        <f t="shared" si="3"/>
        <v>12.742413793103459</v>
      </c>
      <c r="M11" s="6">
        <f t="shared" si="4"/>
        <v>0.22684468999386143</v>
      </c>
      <c r="N11" s="6">
        <f t="shared" si="5"/>
        <v>-7.7255310006138556E-2</v>
      </c>
    </row>
    <row r="12" spans="1:14" x14ac:dyDescent="0.3">
      <c r="A12" s="4">
        <v>9</v>
      </c>
      <c r="B12" s="4" t="s">
        <v>212</v>
      </c>
      <c r="C12" s="5">
        <v>47</v>
      </c>
      <c r="D12" s="5">
        <v>0</v>
      </c>
      <c r="E12" s="5">
        <v>16</v>
      </c>
      <c r="F12" s="8">
        <v>30.77</v>
      </c>
      <c r="G12" s="5">
        <v>78.75</v>
      </c>
      <c r="H12" s="9">
        <v>0.1</v>
      </c>
      <c r="I12" s="5">
        <f t="shared" si="0"/>
        <v>70.875</v>
      </c>
      <c r="J12" s="5">
        <f t="shared" si="1"/>
        <v>7.875</v>
      </c>
      <c r="K12" s="5">
        <f t="shared" si="2"/>
        <v>61.099137931034484</v>
      </c>
      <c r="L12" s="5">
        <f t="shared" si="3"/>
        <v>14.099137931034484</v>
      </c>
      <c r="M12" s="6">
        <f t="shared" si="4"/>
        <v>0.2307583774250441</v>
      </c>
      <c r="N12" s="6">
        <f t="shared" si="5"/>
        <v>-7.6941622574955876E-2</v>
      </c>
    </row>
    <row r="13" spans="1:14" x14ac:dyDescent="0.3">
      <c r="A13" s="4">
        <v>9</v>
      </c>
      <c r="B13" s="4" t="s">
        <v>213</v>
      </c>
      <c r="C13" s="5">
        <v>175.11</v>
      </c>
      <c r="D13" s="5">
        <v>0</v>
      </c>
      <c r="E13" s="5">
        <v>16</v>
      </c>
      <c r="F13" s="8">
        <v>37.159999999999997</v>
      </c>
      <c r="G13" s="5">
        <v>323.25</v>
      </c>
      <c r="H13" s="9">
        <v>0.1</v>
      </c>
      <c r="I13" s="5">
        <f t="shared" si="0"/>
        <v>290.92500000000001</v>
      </c>
      <c r="J13" s="5">
        <f t="shared" si="1"/>
        <v>32.324999999999989</v>
      </c>
      <c r="K13" s="5">
        <f t="shared" si="2"/>
        <v>250.79741379310349</v>
      </c>
      <c r="L13" s="5">
        <f t="shared" si="3"/>
        <v>75.687413793103474</v>
      </c>
      <c r="M13" s="6">
        <f t="shared" si="4"/>
        <v>0.30178705852023724</v>
      </c>
      <c r="N13" s="6">
        <f t="shared" si="5"/>
        <v>-6.9812941479762747E-2</v>
      </c>
    </row>
    <row r="14" spans="1:14" x14ac:dyDescent="0.3">
      <c r="A14" s="4">
        <v>9</v>
      </c>
      <c r="B14" s="4" t="s">
        <v>214</v>
      </c>
      <c r="C14" s="5">
        <v>6.18</v>
      </c>
      <c r="D14" s="5">
        <v>0</v>
      </c>
      <c r="E14" s="5">
        <v>16</v>
      </c>
      <c r="F14" s="8">
        <v>31.73</v>
      </c>
      <c r="G14" s="5">
        <v>10.5</v>
      </c>
      <c r="H14" s="9">
        <v>0.1</v>
      </c>
      <c r="I14" s="5">
        <f t="shared" si="0"/>
        <v>9.4500000000000011</v>
      </c>
      <c r="J14" s="5">
        <f t="shared" si="1"/>
        <v>1.0499999999999989</v>
      </c>
      <c r="K14" s="5">
        <f t="shared" si="2"/>
        <v>8.1465517241379324</v>
      </c>
      <c r="L14" s="5">
        <f t="shared" si="3"/>
        <v>1.9665517241379327</v>
      </c>
      <c r="M14" s="6">
        <f t="shared" si="4"/>
        <v>0.24139682539682555</v>
      </c>
      <c r="N14" s="6">
        <f t="shared" si="5"/>
        <v>-7.5903174603174473E-2</v>
      </c>
    </row>
    <row r="15" spans="1:14" x14ac:dyDescent="0.3">
      <c r="A15" s="4">
        <v>9</v>
      </c>
      <c r="B15" s="4" t="s">
        <v>215</v>
      </c>
      <c r="C15" s="5">
        <v>68.040000000000006</v>
      </c>
      <c r="D15" s="5">
        <v>0</v>
      </c>
      <c r="E15" s="5">
        <v>16</v>
      </c>
      <c r="F15" s="8">
        <v>38.22</v>
      </c>
      <c r="G15" s="5">
        <v>127.75</v>
      </c>
      <c r="H15" s="9">
        <v>0.1</v>
      </c>
      <c r="I15" s="5">
        <f t="shared" si="0"/>
        <v>114.97500000000001</v>
      </c>
      <c r="J15" s="5">
        <f t="shared" si="1"/>
        <v>12.774999999999991</v>
      </c>
      <c r="K15" s="5">
        <f t="shared" si="2"/>
        <v>99.11637931034484</v>
      </c>
      <c r="L15" s="5">
        <f t="shared" si="3"/>
        <v>31.076379310344834</v>
      </c>
      <c r="M15" s="6">
        <f t="shared" si="4"/>
        <v>0.31353424657534251</v>
      </c>
      <c r="N15" s="6">
        <f t="shared" si="5"/>
        <v>-6.8665753424657472E-2</v>
      </c>
    </row>
    <row r="16" spans="1:14" x14ac:dyDescent="0.3">
      <c r="A16" s="4">
        <v>9</v>
      </c>
      <c r="B16" s="4" t="s">
        <v>216</v>
      </c>
      <c r="C16" s="5">
        <v>21.67</v>
      </c>
      <c r="D16" s="5">
        <v>0</v>
      </c>
      <c r="E16" s="5">
        <v>16</v>
      </c>
      <c r="F16" s="8">
        <v>30.29</v>
      </c>
      <c r="G16" s="5">
        <v>36.06</v>
      </c>
      <c r="H16" s="9">
        <v>0.1</v>
      </c>
      <c r="I16" s="5">
        <f t="shared" si="0"/>
        <v>32.454000000000001</v>
      </c>
      <c r="J16" s="5">
        <f t="shared" si="1"/>
        <v>3.6060000000000016</v>
      </c>
      <c r="K16" s="5">
        <f t="shared" si="2"/>
        <v>27.977586206896554</v>
      </c>
      <c r="L16" s="5">
        <f t="shared" si="3"/>
        <v>6.307586206896552</v>
      </c>
      <c r="M16" s="6">
        <f t="shared" si="4"/>
        <v>0.22545140814691564</v>
      </c>
      <c r="N16" s="6">
        <f t="shared" si="5"/>
        <v>-7.7448591853084364E-2</v>
      </c>
    </row>
    <row r="17" spans="1:14" x14ac:dyDescent="0.3">
      <c r="A17" s="4">
        <v>9</v>
      </c>
      <c r="B17" s="4" t="s">
        <v>217</v>
      </c>
      <c r="C17" s="5">
        <v>30.73</v>
      </c>
      <c r="D17" s="5">
        <v>0</v>
      </c>
      <c r="E17" s="5">
        <v>16</v>
      </c>
      <c r="F17" s="8">
        <v>33.700000000000003</v>
      </c>
      <c r="G17" s="5">
        <v>53.77</v>
      </c>
      <c r="H17" s="9">
        <v>0.1</v>
      </c>
      <c r="I17" s="5">
        <f t="shared" si="0"/>
        <v>48.393000000000001</v>
      </c>
      <c r="J17" s="5">
        <f t="shared" si="1"/>
        <v>5.3770000000000024</v>
      </c>
      <c r="K17" s="5">
        <f t="shared" si="2"/>
        <v>41.718103448275869</v>
      </c>
      <c r="L17" s="5">
        <f t="shared" si="3"/>
        <v>10.988103448275869</v>
      </c>
      <c r="M17" s="6">
        <f t="shared" si="4"/>
        <v>0.26338933316802027</v>
      </c>
      <c r="N17" s="6">
        <f t="shared" si="5"/>
        <v>-7.3610666831979754E-2</v>
      </c>
    </row>
    <row r="18" spans="1:14" x14ac:dyDescent="0.3">
      <c r="A18" s="4">
        <v>9</v>
      </c>
      <c r="B18" s="4" t="s">
        <v>218</v>
      </c>
      <c r="C18" s="5">
        <v>14.51</v>
      </c>
      <c r="D18" s="5">
        <v>0</v>
      </c>
      <c r="E18" s="5">
        <v>16</v>
      </c>
      <c r="F18" s="8">
        <v>35.159999999999997</v>
      </c>
      <c r="G18" s="5">
        <v>25.96</v>
      </c>
      <c r="H18" s="9">
        <v>0.1</v>
      </c>
      <c r="I18" s="5">
        <f t="shared" si="0"/>
        <v>23.364000000000001</v>
      </c>
      <c r="J18" s="5">
        <f t="shared" si="1"/>
        <v>2.5960000000000001</v>
      </c>
      <c r="K18" s="5">
        <f t="shared" si="2"/>
        <v>20.141379310344831</v>
      </c>
      <c r="L18" s="5">
        <f t="shared" si="3"/>
        <v>5.6313793103448315</v>
      </c>
      <c r="M18" s="6">
        <f t="shared" si="4"/>
        <v>0.27959253552473906</v>
      </c>
      <c r="N18" s="6">
        <f t="shared" si="5"/>
        <v>-7.2007464475260907E-2</v>
      </c>
    </row>
    <row r="19" spans="1:14" x14ac:dyDescent="0.3">
      <c r="A19" s="4">
        <v>9</v>
      </c>
      <c r="B19" s="4" t="s">
        <v>219</v>
      </c>
      <c r="C19" s="5">
        <v>50.7</v>
      </c>
      <c r="D19" s="5">
        <v>0</v>
      </c>
      <c r="E19" s="5">
        <v>16</v>
      </c>
      <c r="F19" s="8">
        <v>32.94</v>
      </c>
      <c r="G19" s="5">
        <v>87.7</v>
      </c>
      <c r="H19" s="9">
        <v>0.1</v>
      </c>
      <c r="I19" s="5">
        <f t="shared" si="0"/>
        <v>78.930000000000007</v>
      </c>
      <c r="J19" s="5">
        <f t="shared" si="1"/>
        <v>8.769999999999996</v>
      </c>
      <c r="K19" s="5">
        <f t="shared" si="2"/>
        <v>68.043103448275872</v>
      </c>
      <c r="L19" s="5">
        <f t="shared" si="3"/>
        <v>17.343103448275869</v>
      </c>
      <c r="M19" s="6">
        <f t="shared" si="4"/>
        <v>0.25488407449638928</v>
      </c>
      <c r="N19" s="6">
        <f t="shared" si="5"/>
        <v>-7.4515925503610692E-2</v>
      </c>
    </row>
    <row r="20" spans="1:14" x14ac:dyDescent="0.3">
      <c r="A20" s="4">
        <v>9</v>
      </c>
      <c r="B20" s="4" t="s">
        <v>220</v>
      </c>
      <c r="C20" s="5">
        <v>37.119999999999997</v>
      </c>
      <c r="D20" s="5">
        <v>0</v>
      </c>
      <c r="E20" s="5">
        <v>16</v>
      </c>
      <c r="F20" s="8">
        <v>31.05</v>
      </c>
      <c r="G20" s="5">
        <v>62.45</v>
      </c>
      <c r="H20" s="9">
        <v>0.1</v>
      </c>
      <c r="I20" s="5">
        <f t="shared" si="0"/>
        <v>56.205000000000005</v>
      </c>
      <c r="J20" s="5">
        <f t="shared" si="1"/>
        <v>6.2449999999999974</v>
      </c>
      <c r="K20" s="5">
        <f t="shared" si="2"/>
        <v>48.452586206896562</v>
      </c>
      <c r="L20" s="5">
        <f t="shared" si="3"/>
        <v>11.332586206896565</v>
      </c>
      <c r="M20" s="6">
        <f t="shared" si="4"/>
        <v>0.23389022328974313</v>
      </c>
      <c r="N20" s="6">
        <f t="shared" si="5"/>
        <v>-7.6609776710256872E-2</v>
      </c>
    </row>
    <row r="21" spans="1:14" x14ac:dyDescent="0.3">
      <c r="A21" s="4">
        <v>9</v>
      </c>
      <c r="B21" s="4" t="s">
        <v>221</v>
      </c>
      <c r="C21" s="5">
        <v>107.4</v>
      </c>
      <c r="D21" s="5">
        <v>0</v>
      </c>
      <c r="E21" s="5">
        <v>16</v>
      </c>
      <c r="F21" s="8">
        <v>31.79</v>
      </c>
      <c r="G21" s="5">
        <v>182.64</v>
      </c>
      <c r="H21" s="9">
        <v>0.1</v>
      </c>
      <c r="I21" s="5">
        <f t="shared" si="0"/>
        <v>164.376</v>
      </c>
      <c r="J21" s="5">
        <f t="shared" si="1"/>
        <v>18.263999999999982</v>
      </c>
      <c r="K21" s="5">
        <f t="shared" si="2"/>
        <v>141.70344827586209</v>
      </c>
      <c r="L21" s="5">
        <f t="shared" si="3"/>
        <v>34.303448275862081</v>
      </c>
      <c r="M21" s="6">
        <f t="shared" si="4"/>
        <v>0.2420791356402395</v>
      </c>
      <c r="N21" s="6">
        <f t="shared" si="5"/>
        <v>-7.5820864359760515E-2</v>
      </c>
    </row>
    <row r="22" spans="1:14" x14ac:dyDescent="0.3">
      <c r="A22" s="4">
        <v>9</v>
      </c>
      <c r="B22" s="4" t="s">
        <v>222</v>
      </c>
      <c r="C22" s="5">
        <v>35.44</v>
      </c>
      <c r="D22" s="5">
        <v>0</v>
      </c>
      <c r="E22" s="5">
        <v>0</v>
      </c>
      <c r="F22" s="8">
        <v>30</v>
      </c>
      <c r="G22" s="5">
        <v>50.63</v>
      </c>
      <c r="H22" s="9">
        <v>0.1</v>
      </c>
      <c r="I22" s="5">
        <f t="shared" si="0"/>
        <v>45.567</v>
      </c>
      <c r="J22" s="5">
        <f t="shared" si="1"/>
        <v>5.0630000000000024</v>
      </c>
      <c r="K22" s="5">
        <f t="shared" si="2"/>
        <v>45.567</v>
      </c>
      <c r="L22" s="5">
        <f t="shared" si="3"/>
        <v>10.127000000000002</v>
      </c>
      <c r="M22" s="6">
        <f t="shared" si="4"/>
        <v>0.22224416792854484</v>
      </c>
      <c r="N22" s="6">
        <f t="shared" si="5"/>
        <v>-7.7755832071455144E-2</v>
      </c>
    </row>
    <row r="23" spans="1:14" x14ac:dyDescent="0.3">
      <c r="A23" s="4">
        <v>9</v>
      </c>
      <c r="B23" s="4" t="s">
        <v>223</v>
      </c>
      <c r="C23" s="5">
        <v>33.65</v>
      </c>
      <c r="D23" s="5">
        <v>0</v>
      </c>
      <c r="E23" s="5">
        <v>16</v>
      </c>
      <c r="F23" s="8">
        <v>32.39</v>
      </c>
      <c r="G23" s="5">
        <v>57.73</v>
      </c>
      <c r="H23" s="9">
        <v>0.1</v>
      </c>
      <c r="I23" s="5">
        <f t="shared" si="0"/>
        <v>51.957000000000001</v>
      </c>
      <c r="J23" s="5">
        <f t="shared" si="1"/>
        <v>5.7729999999999961</v>
      </c>
      <c r="K23" s="5">
        <f t="shared" si="2"/>
        <v>44.790517241379312</v>
      </c>
      <c r="L23" s="5">
        <f t="shared" si="3"/>
        <v>11.140517241379314</v>
      </c>
      <c r="M23" s="6">
        <f t="shared" si="4"/>
        <v>0.2487249071347461</v>
      </c>
      <c r="N23" s="6">
        <f t="shared" si="5"/>
        <v>-7.5175092865253923E-2</v>
      </c>
    </row>
    <row r="24" spans="1:14" x14ac:dyDescent="0.3">
      <c r="A24" s="4">
        <v>9</v>
      </c>
      <c r="B24" s="4" t="s">
        <v>224</v>
      </c>
      <c r="C24" s="5">
        <v>24.37</v>
      </c>
      <c r="D24" s="5">
        <v>0</v>
      </c>
      <c r="E24" s="5">
        <v>16</v>
      </c>
      <c r="F24" s="8">
        <v>32.93</v>
      </c>
      <c r="G24" s="5">
        <v>42.15</v>
      </c>
      <c r="H24" s="9">
        <v>0.1</v>
      </c>
      <c r="I24" s="5">
        <f t="shared" si="0"/>
        <v>37.935000000000002</v>
      </c>
      <c r="J24" s="5">
        <f t="shared" si="1"/>
        <v>4.2149999999999963</v>
      </c>
      <c r="K24" s="5">
        <f t="shared" si="2"/>
        <v>32.702586206896555</v>
      </c>
      <c r="L24" s="5">
        <f t="shared" si="3"/>
        <v>8.3325862068965542</v>
      </c>
      <c r="M24" s="6">
        <f t="shared" si="4"/>
        <v>0.25479899828654284</v>
      </c>
      <c r="N24" s="6">
        <f t="shared" si="5"/>
        <v>-7.4501001713457138E-2</v>
      </c>
    </row>
    <row r="25" spans="1:14" x14ac:dyDescent="0.3">
      <c r="A25" s="4">
        <v>14</v>
      </c>
      <c r="B25" s="4" t="s">
        <v>202</v>
      </c>
      <c r="C25" s="5">
        <v>29.75</v>
      </c>
      <c r="D25" s="5">
        <v>0</v>
      </c>
      <c r="E25" s="5">
        <v>16</v>
      </c>
      <c r="F25" s="8">
        <v>31.05</v>
      </c>
      <c r="G25" s="5">
        <v>50.05</v>
      </c>
      <c r="H25" s="9">
        <v>0.1</v>
      </c>
      <c r="I25" s="5">
        <f t="shared" si="0"/>
        <v>45.045000000000002</v>
      </c>
      <c r="J25" s="5">
        <f t="shared" si="1"/>
        <v>5.0049999999999955</v>
      </c>
      <c r="K25" s="5">
        <f t="shared" si="2"/>
        <v>38.831896551724142</v>
      </c>
      <c r="L25" s="5">
        <f t="shared" si="3"/>
        <v>9.0818965517241423</v>
      </c>
      <c r="M25" s="6">
        <f t="shared" si="4"/>
        <v>0.23387723387723397</v>
      </c>
      <c r="N25" s="6">
        <f t="shared" si="5"/>
        <v>-7.6622766122766028E-2</v>
      </c>
    </row>
    <row r="26" spans="1:14" x14ac:dyDescent="0.3">
      <c r="A26" s="4">
        <v>14</v>
      </c>
      <c r="B26" s="4" t="s">
        <v>225</v>
      </c>
      <c r="C26" s="5">
        <v>45.58</v>
      </c>
      <c r="D26" s="5">
        <v>0</v>
      </c>
      <c r="E26" s="5">
        <v>16</v>
      </c>
      <c r="F26" s="8">
        <v>31.34</v>
      </c>
      <c r="G26" s="5">
        <v>77.010000000000005</v>
      </c>
      <c r="H26" s="9">
        <v>0.1</v>
      </c>
      <c r="I26" s="5">
        <f t="shared" si="0"/>
        <v>69.309000000000012</v>
      </c>
      <c r="J26" s="5">
        <f t="shared" si="1"/>
        <v>7.7009999999999934</v>
      </c>
      <c r="K26" s="5">
        <f t="shared" si="2"/>
        <v>59.749137931034497</v>
      </c>
      <c r="L26" s="5">
        <f t="shared" si="3"/>
        <v>14.169137931034498</v>
      </c>
      <c r="M26" s="6">
        <f t="shared" si="4"/>
        <v>0.23714380527781406</v>
      </c>
      <c r="N26" s="6">
        <f t="shared" si="5"/>
        <v>-7.6256194722185949E-2</v>
      </c>
    </row>
    <row r="27" spans="1:14" x14ac:dyDescent="0.3">
      <c r="A27" s="4">
        <v>14</v>
      </c>
      <c r="B27" s="4" t="s">
        <v>205</v>
      </c>
      <c r="C27" s="5">
        <v>47.67</v>
      </c>
      <c r="D27" s="5">
        <v>0</v>
      </c>
      <c r="E27" s="5">
        <v>16</v>
      </c>
      <c r="F27" s="8">
        <v>31.85</v>
      </c>
      <c r="G27" s="5">
        <v>81.14</v>
      </c>
      <c r="H27" s="9">
        <v>0.1</v>
      </c>
      <c r="I27" s="5">
        <f t="shared" si="0"/>
        <v>73.025999999999996</v>
      </c>
      <c r="J27" s="5">
        <f t="shared" si="1"/>
        <v>8.1140000000000043</v>
      </c>
      <c r="K27" s="5">
        <f t="shared" si="2"/>
        <v>62.953448275862073</v>
      </c>
      <c r="L27" s="5">
        <f t="shared" si="3"/>
        <v>15.283448275862071</v>
      </c>
      <c r="M27" s="6">
        <f t="shared" si="4"/>
        <v>0.24277380658943393</v>
      </c>
      <c r="N27" s="6">
        <f t="shared" si="5"/>
        <v>-7.5726193410566078E-2</v>
      </c>
    </row>
    <row r="28" spans="1:14" x14ac:dyDescent="0.3">
      <c r="A28" s="4">
        <v>14</v>
      </c>
      <c r="B28" s="4" t="s">
        <v>206</v>
      </c>
      <c r="C28" s="5">
        <v>19.79</v>
      </c>
      <c r="D28" s="5">
        <v>0</v>
      </c>
      <c r="E28" s="5">
        <v>16</v>
      </c>
      <c r="F28" s="8">
        <v>31.37</v>
      </c>
      <c r="G28" s="5">
        <v>33.450000000000003</v>
      </c>
      <c r="H28" s="9">
        <v>0.1</v>
      </c>
      <c r="I28" s="5">
        <f t="shared" si="0"/>
        <v>30.105000000000004</v>
      </c>
      <c r="J28" s="5">
        <f t="shared" si="1"/>
        <v>3.3449999999999989</v>
      </c>
      <c r="K28" s="5">
        <f t="shared" si="2"/>
        <v>25.952586206896559</v>
      </c>
      <c r="L28" s="5">
        <f t="shared" si="3"/>
        <v>6.1625862068965596</v>
      </c>
      <c r="M28" s="6">
        <f t="shared" si="4"/>
        <v>0.23745557216409258</v>
      </c>
      <c r="N28" s="6">
        <f t="shared" si="5"/>
        <v>-7.6244427835907458E-2</v>
      </c>
    </row>
    <row r="29" spans="1:14" x14ac:dyDescent="0.3">
      <c r="A29" s="4">
        <v>14</v>
      </c>
      <c r="B29" s="4" t="s">
        <v>226</v>
      </c>
      <c r="C29" s="5">
        <v>38.83</v>
      </c>
      <c r="D29" s="5">
        <v>0</v>
      </c>
      <c r="E29" s="5">
        <v>0</v>
      </c>
      <c r="F29" s="8">
        <v>38.369999999999997</v>
      </c>
      <c r="G29" s="5">
        <v>63.01</v>
      </c>
      <c r="H29" s="9">
        <v>0.1</v>
      </c>
      <c r="I29" s="5">
        <f t="shared" si="0"/>
        <v>56.708999999999996</v>
      </c>
      <c r="J29" s="5">
        <f t="shared" si="1"/>
        <v>6.3010000000000019</v>
      </c>
      <c r="K29" s="5">
        <f t="shared" si="2"/>
        <v>56.708999999999996</v>
      </c>
      <c r="L29" s="5">
        <f t="shared" si="3"/>
        <v>17.878999999999998</v>
      </c>
      <c r="M29" s="6">
        <f t="shared" si="4"/>
        <v>0.3152762348128163</v>
      </c>
      <c r="N29" s="6">
        <f t="shared" si="5"/>
        <v>-6.8423765187183683E-2</v>
      </c>
    </row>
    <row r="30" spans="1:14" x14ac:dyDescent="0.3">
      <c r="A30" s="4">
        <v>14</v>
      </c>
      <c r="B30" s="4" t="s">
        <v>208</v>
      </c>
      <c r="C30" s="5">
        <v>12.44</v>
      </c>
      <c r="D30" s="5">
        <v>0</v>
      </c>
      <c r="E30" s="5">
        <v>16</v>
      </c>
      <c r="F30" s="8">
        <v>34.9</v>
      </c>
      <c r="G30" s="5">
        <v>22.17</v>
      </c>
      <c r="H30" s="9">
        <v>0.1</v>
      </c>
      <c r="I30" s="5">
        <f t="shared" si="0"/>
        <v>19.953000000000003</v>
      </c>
      <c r="J30" s="5">
        <f t="shared" si="1"/>
        <v>2.2169999999999987</v>
      </c>
      <c r="K30" s="5">
        <f t="shared" si="2"/>
        <v>17.20086206896552</v>
      </c>
      <c r="L30" s="5">
        <f t="shared" si="3"/>
        <v>4.7608620689655208</v>
      </c>
      <c r="M30" s="6">
        <f t="shared" si="4"/>
        <v>0.27678043401994701</v>
      </c>
      <c r="N30" s="6">
        <f t="shared" si="5"/>
        <v>-7.2219565980052969E-2</v>
      </c>
    </row>
    <row r="31" spans="1:14" x14ac:dyDescent="0.3">
      <c r="A31" s="4">
        <v>14</v>
      </c>
      <c r="B31" s="4" t="s">
        <v>209</v>
      </c>
      <c r="C31" s="5">
        <v>36.950000000000003</v>
      </c>
      <c r="D31" s="5">
        <v>0</v>
      </c>
      <c r="E31" s="5">
        <v>16</v>
      </c>
      <c r="F31" s="8">
        <v>30.7</v>
      </c>
      <c r="G31" s="5">
        <v>61.85</v>
      </c>
      <c r="H31" s="9">
        <v>0.1</v>
      </c>
      <c r="I31" s="5">
        <f t="shared" si="0"/>
        <v>55.664999999999999</v>
      </c>
      <c r="J31" s="5">
        <f t="shared" si="1"/>
        <v>6.1850000000000023</v>
      </c>
      <c r="K31" s="5">
        <f t="shared" si="2"/>
        <v>47.987068965517246</v>
      </c>
      <c r="L31" s="5">
        <f t="shared" si="3"/>
        <v>11.037068965517243</v>
      </c>
      <c r="M31" s="6">
        <f t="shared" si="4"/>
        <v>0.23000089823048595</v>
      </c>
      <c r="N31" s="6">
        <f t="shared" si="5"/>
        <v>-7.699910176951405E-2</v>
      </c>
    </row>
    <row r="32" spans="1:14" x14ac:dyDescent="0.3">
      <c r="A32" s="4">
        <v>14</v>
      </c>
      <c r="B32" s="4" t="s">
        <v>204</v>
      </c>
      <c r="C32" s="5">
        <v>38.659999999999997</v>
      </c>
      <c r="D32" s="5">
        <v>0</v>
      </c>
      <c r="E32" s="5">
        <v>16</v>
      </c>
      <c r="F32" s="8">
        <v>30.29</v>
      </c>
      <c r="G32" s="5">
        <v>64.33</v>
      </c>
      <c r="H32" s="9">
        <v>0.1</v>
      </c>
      <c r="I32" s="5">
        <f t="shared" si="0"/>
        <v>57.896999999999998</v>
      </c>
      <c r="J32" s="5">
        <f t="shared" si="1"/>
        <v>6.4329999999999998</v>
      </c>
      <c r="K32" s="5">
        <f t="shared" si="2"/>
        <v>49.911206896551725</v>
      </c>
      <c r="L32" s="5">
        <f t="shared" si="3"/>
        <v>11.251206896551729</v>
      </c>
      <c r="M32" s="6">
        <f t="shared" si="4"/>
        <v>0.22542446068017349</v>
      </c>
      <c r="N32" s="6">
        <f t="shared" si="5"/>
        <v>-7.7475539319826509E-2</v>
      </c>
    </row>
    <row r="33" spans="1:14" x14ac:dyDescent="0.3">
      <c r="A33" s="4">
        <v>14</v>
      </c>
      <c r="B33" s="4" t="s">
        <v>203</v>
      </c>
      <c r="C33" s="5">
        <v>99.36</v>
      </c>
      <c r="D33" s="5">
        <v>0</v>
      </c>
      <c r="E33" s="5">
        <v>16</v>
      </c>
      <c r="F33" s="8">
        <v>35.369999999999997</v>
      </c>
      <c r="G33" s="5">
        <v>178.34</v>
      </c>
      <c r="H33" s="9">
        <v>0.1</v>
      </c>
      <c r="I33" s="5">
        <f t="shared" si="0"/>
        <v>160.506</v>
      </c>
      <c r="J33" s="5">
        <f t="shared" si="1"/>
        <v>17.834000000000003</v>
      </c>
      <c r="K33" s="5">
        <f t="shared" si="2"/>
        <v>138.36724137931034</v>
      </c>
      <c r="L33" s="5">
        <f t="shared" si="3"/>
        <v>39.007241379310344</v>
      </c>
      <c r="M33" s="6">
        <f t="shared" si="4"/>
        <v>0.28191095659975329</v>
      </c>
      <c r="N33" s="6">
        <f t="shared" si="5"/>
        <v>-7.1789043400246666E-2</v>
      </c>
    </row>
    <row r="34" spans="1:14" x14ac:dyDescent="0.3">
      <c r="A34" s="4">
        <v>14</v>
      </c>
      <c r="B34" s="4" t="s">
        <v>211</v>
      </c>
      <c r="C34" s="5">
        <v>43.43</v>
      </c>
      <c r="D34" s="5">
        <v>0</v>
      </c>
      <c r="E34" s="5">
        <v>16</v>
      </c>
      <c r="F34" s="8">
        <v>30.41</v>
      </c>
      <c r="G34" s="5">
        <v>72.400000000000006</v>
      </c>
      <c r="H34" s="9">
        <v>0.1</v>
      </c>
      <c r="I34" s="5">
        <f t="shared" si="0"/>
        <v>65.160000000000011</v>
      </c>
      <c r="J34" s="5">
        <f t="shared" si="1"/>
        <v>7.2399999999999949</v>
      </c>
      <c r="K34" s="5">
        <f t="shared" si="2"/>
        <v>56.172413793103459</v>
      </c>
      <c r="L34" s="5">
        <f t="shared" si="3"/>
        <v>12.742413793103459</v>
      </c>
      <c r="M34" s="6">
        <f t="shared" si="4"/>
        <v>0.22684468999386143</v>
      </c>
      <c r="N34" s="6">
        <f t="shared" si="5"/>
        <v>-7.7255310006138556E-2</v>
      </c>
    </row>
    <row r="35" spans="1:14" x14ac:dyDescent="0.3">
      <c r="A35" s="4">
        <v>14</v>
      </c>
      <c r="B35" s="4" t="s">
        <v>214</v>
      </c>
      <c r="C35" s="5">
        <v>6.18</v>
      </c>
      <c r="D35" s="5">
        <v>0</v>
      </c>
      <c r="E35" s="5">
        <v>16</v>
      </c>
      <c r="F35" s="8">
        <v>31.73</v>
      </c>
      <c r="G35" s="5">
        <v>10.5</v>
      </c>
      <c r="H35" s="9">
        <v>0.1</v>
      </c>
      <c r="I35" s="5">
        <f t="shared" si="0"/>
        <v>9.4500000000000011</v>
      </c>
      <c r="J35" s="5">
        <f t="shared" si="1"/>
        <v>1.0499999999999989</v>
      </c>
      <c r="K35" s="5">
        <f t="shared" si="2"/>
        <v>8.1465517241379324</v>
      </c>
      <c r="L35" s="5">
        <f t="shared" si="3"/>
        <v>1.9665517241379327</v>
      </c>
      <c r="M35" s="6">
        <f t="shared" si="4"/>
        <v>0.24139682539682555</v>
      </c>
      <c r="N35" s="6">
        <f t="shared" si="5"/>
        <v>-7.5903174603174473E-2</v>
      </c>
    </row>
    <row r="36" spans="1:14" x14ac:dyDescent="0.3">
      <c r="A36" s="4">
        <v>14</v>
      </c>
      <c r="B36" s="4" t="s">
        <v>212</v>
      </c>
      <c r="C36" s="5">
        <v>47</v>
      </c>
      <c r="D36" s="5">
        <v>0</v>
      </c>
      <c r="E36" s="5">
        <v>16</v>
      </c>
      <c r="F36" s="8">
        <v>30.77</v>
      </c>
      <c r="G36" s="5">
        <v>78.75</v>
      </c>
      <c r="H36" s="9">
        <v>0.1</v>
      </c>
      <c r="I36" s="5">
        <f t="shared" si="0"/>
        <v>70.875</v>
      </c>
      <c r="J36" s="5">
        <f t="shared" si="1"/>
        <v>7.875</v>
      </c>
      <c r="K36" s="5">
        <f t="shared" si="2"/>
        <v>61.099137931034484</v>
      </c>
      <c r="L36" s="5">
        <f t="shared" si="3"/>
        <v>14.099137931034484</v>
      </c>
      <c r="M36" s="6">
        <f t="shared" si="4"/>
        <v>0.2307583774250441</v>
      </c>
      <c r="N36" s="6">
        <f t="shared" si="5"/>
        <v>-7.6941622574955876E-2</v>
      </c>
    </row>
    <row r="37" spans="1:14" x14ac:dyDescent="0.3">
      <c r="A37" s="4">
        <v>14</v>
      </c>
      <c r="B37" s="4" t="s">
        <v>216</v>
      </c>
      <c r="C37" s="5">
        <v>21.67</v>
      </c>
      <c r="D37" s="5">
        <v>0</v>
      </c>
      <c r="E37" s="5">
        <v>16</v>
      </c>
      <c r="F37" s="8">
        <v>30.29</v>
      </c>
      <c r="G37" s="5">
        <v>36.06</v>
      </c>
      <c r="H37" s="9">
        <v>0.1</v>
      </c>
      <c r="I37" s="5">
        <f t="shared" si="0"/>
        <v>32.454000000000001</v>
      </c>
      <c r="J37" s="5">
        <f t="shared" si="1"/>
        <v>3.6060000000000016</v>
      </c>
      <c r="K37" s="5">
        <f t="shared" si="2"/>
        <v>27.977586206896554</v>
      </c>
      <c r="L37" s="5">
        <f t="shared" si="3"/>
        <v>6.307586206896552</v>
      </c>
      <c r="M37" s="6">
        <f t="shared" si="4"/>
        <v>0.22545140814691564</v>
      </c>
      <c r="N37" s="6">
        <f t="shared" si="5"/>
        <v>-7.7448591853084364E-2</v>
      </c>
    </row>
    <row r="38" spans="1:14" x14ac:dyDescent="0.3">
      <c r="A38" s="4">
        <v>14</v>
      </c>
      <c r="B38" s="4" t="s">
        <v>217</v>
      </c>
      <c r="C38" s="5">
        <v>30.73</v>
      </c>
      <c r="D38" s="5">
        <v>0</v>
      </c>
      <c r="E38" s="5">
        <v>16</v>
      </c>
      <c r="F38" s="8">
        <v>33.700000000000003</v>
      </c>
      <c r="G38" s="5">
        <v>53.77</v>
      </c>
      <c r="H38" s="9">
        <v>0.1</v>
      </c>
      <c r="I38" s="5">
        <f t="shared" si="0"/>
        <v>48.393000000000001</v>
      </c>
      <c r="J38" s="5">
        <f t="shared" si="1"/>
        <v>5.3770000000000024</v>
      </c>
      <c r="K38" s="5">
        <f t="shared" si="2"/>
        <v>41.718103448275869</v>
      </c>
      <c r="L38" s="5">
        <f t="shared" si="3"/>
        <v>10.988103448275869</v>
      </c>
      <c r="M38" s="6">
        <f t="shared" si="4"/>
        <v>0.26338933316802027</v>
      </c>
      <c r="N38" s="6">
        <f t="shared" si="5"/>
        <v>-7.3610666831979754E-2</v>
      </c>
    </row>
    <row r="39" spans="1:14" x14ac:dyDescent="0.3">
      <c r="A39" s="4">
        <v>14</v>
      </c>
      <c r="B39" s="4" t="s">
        <v>218</v>
      </c>
      <c r="C39" s="5">
        <v>14.51</v>
      </c>
      <c r="D39" s="5">
        <v>0</v>
      </c>
      <c r="E39" s="5">
        <v>16</v>
      </c>
      <c r="F39" s="8">
        <v>35.159999999999997</v>
      </c>
      <c r="G39" s="5">
        <v>25.96</v>
      </c>
      <c r="H39" s="9">
        <v>0.1</v>
      </c>
      <c r="I39" s="5">
        <f t="shared" si="0"/>
        <v>23.364000000000001</v>
      </c>
      <c r="J39" s="5">
        <f t="shared" si="1"/>
        <v>2.5960000000000001</v>
      </c>
      <c r="K39" s="5">
        <f t="shared" si="2"/>
        <v>20.141379310344831</v>
      </c>
      <c r="L39" s="5">
        <f t="shared" si="3"/>
        <v>5.6313793103448315</v>
      </c>
      <c r="M39" s="6">
        <f t="shared" si="4"/>
        <v>0.27959253552473906</v>
      </c>
      <c r="N39" s="6">
        <f t="shared" si="5"/>
        <v>-7.2007464475260907E-2</v>
      </c>
    </row>
    <row r="40" spans="1:14" x14ac:dyDescent="0.3">
      <c r="A40" s="4">
        <v>14</v>
      </c>
      <c r="B40" s="4" t="s">
        <v>227</v>
      </c>
      <c r="C40" s="5">
        <v>16.2</v>
      </c>
      <c r="D40" s="5">
        <v>0</v>
      </c>
      <c r="E40" s="5">
        <v>16</v>
      </c>
      <c r="F40" s="8">
        <v>30.39</v>
      </c>
      <c r="G40" s="5">
        <v>26.99</v>
      </c>
      <c r="H40" s="9">
        <v>0.1</v>
      </c>
      <c r="I40" s="5">
        <f t="shared" si="0"/>
        <v>24.291</v>
      </c>
      <c r="J40" s="5">
        <f t="shared" si="1"/>
        <v>2.6989999999999981</v>
      </c>
      <c r="K40" s="5">
        <f t="shared" si="2"/>
        <v>20.940517241379311</v>
      </c>
      <c r="L40" s="5">
        <f t="shared" si="3"/>
        <v>4.7405172413793117</v>
      </c>
      <c r="M40" s="6">
        <f t="shared" si="4"/>
        <v>0.22638014079288632</v>
      </c>
      <c r="N40" s="6">
        <f t="shared" si="5"/>
        <v>-7.7519859207113684E-2</v>
      </c>
    </row>
    <row r="41" spans="1:14" x14ac:dyDescent="0.3">
      <c r="A41" s="4"/>
      <c r="B41" s="4"/>
      <c r="C41" s="5"/>
      <c r="D41" s="5"/>
      <c r="E41" s="5"/>
      <c r="F41" s="8"/>
      <c r="G41" s="5"/>
      <c r="H41" s="9">
        <v>0.1</v>
      </c>
      <c r="I41" s="5">
        <f t="shared" si="0"/>
        <v>0</v>
      </c>
      <c r="J41" s="5">
        <f t="shared" si="1"/>
        <v>0</v>
      </c>
      <c r="K41" s="5">
        <f t="shared" si="2"/>
        <v>0</v>
      </c>
      <c r="L41" s="5">
        <f t="shared" si="3"/>
        <v>0</v>
      </c>
      <c r="M41" s="6">
        <f t="shared" si="4"/>
        <v>0</v>
      </c>
      <c r="N41" s="6">
        <f t="shared" si="5"/>
        <v>0</v>
      </c>
    </row>
    <row r="42" spans="1:14" ht="291" x14ac:dyDescent="0.3">
      <c r="A42" s="10" t="s">
        <v>228</v>
      </c>
      <c r="B42" s="4"/>
      <c r="C42" s="5"/>
      <c r="D42" s="5"/>
      <c r="E42" s="5"/>
      <c r="F42" s="8"/>
      <c r="G42" s="5"/>
      <c r="H42" s="9">
        <v>0.1</v>
      </c>
      <c r="I42" s="5">
        <f t="shared" si="0"/>
        <v>0</v>
      </c>
      <c r="J42" s="5">
        <f t="shared" si="1"/>
        <v>0</v>
      </c>
      <c r="K42" s="5">
        <f t="shared" si="2"/>
        <v>0</v>
      </c>
      <c r="L42" s="5">
        <f t="shared" si="3"/>
        <v>0</v>
      </c>
      <c r="M42" s="6">
        <f t="shared" si="4"/>
        <v>0</v>
      </c>
      <c r="N42" s="6">
        <f t="shared" si="5"/>
        <v>0</v>
      </c>
    </row>
    <row r="43" spans="1:14" x14ac:dyDescent="0.3">
      <c r="A43" s="11"/>
      <c r="B43" s="11" t="s">
        <v>201</v>
      </c>
      <c r="C43" s="11"/>
      <c r="D43" s="11"/>
      <c r="E43" s="11"/>
      <c r="F43" s="12">
        <f>AVERAGE(F2:F42)</f>
        <v>32.467179487179493</v>
      </c>
      <c r="G43" s="13">
        <f>SUM(G2:G42)</f>
        <v>2787.7599999999998</v>
      </c>
      <c r="H43" s="11"/>
      <c r="I43" s="13">
        <f>SUM(I2:I42)</f>
        <v>2508.9839999999999</v>
      </c>
      <c r="J43" s="13">
        <f>SUM(J2:J42)</f>
        <v>278.77600000000001</v>
      </c>
      <c r="K43" s="11"/>
      <c r="L43" s="13">
        <f>SUM(L2:L42)</f>
        <v>559.95427586206915</v>
      </c>
      <c r="M43" s="14">
        <f>IF(SUM(K2:K42)=0,0,SUM(L2:L42)/SUM(K2:K42))</f>
        <v>0.25721085523510556</v>
      </c>
      <c r="N43" s="11"/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F9D8BE-37CA-438F-9CBE-9C7161CD496B}">
  <dimension ref="A1:AU65"/>
  <sheetViews>
    <sheetView tabSelected="1" workbookViewId="0">
      <selection activeCell="L24" sqref="L24"/>
    </sheetView>
  </sheetViews>
  <sheetFormatPr baseColWidth="10" defaultRowHeight="14.4" x14ac:dyDescent="0.3"/>
  <cols>
    <col min="3" max="3" width="55.109375" bestFit="1" customWidth="1"/>
    <col min="4" max="4" width="17" customWidth="1"/>
    <col min="29" max="29" width="55.88671875" customWidth="1"/>
  </cols>
  <sheetData>
    <row r="1" spans="1:47" x14ac:dyDescent="0.3">
      <c r="A1" s="15" t="s">
        <v>11</v>
      </c>
      <c r="B1" s="15" t="s">
        <v>229</v>
      </c>
      <c r="C1" s="15" t="s">
        <v>230</v>
      </c>
      <c r="D1" s="15" t="s">
        <v>231</v>
      </c>
      <c r="E1" s="15" t="s">
        <v>232</v>
      </c>
      <c r="F1" s="15" t="s">
        <v>13</v>
      </c>
      <c r="G1" s="15" t="s">
        <v>14</v>
      </c>
      <c r="H1" s="15" t="s">
        <v>15</v>
      </c>
      <c r="I1" s="15" t="s">
        <v>16</v>
      </c>
      <c r="J1" s="15" t="s">
        <v>17</v>
      </c>
      <c r="K1" s="15" t="s">
        <v>233</v>
      </c>
      <c r="L1" s="15" t="s">
        <v>234</v>
      </c>
      <c r="M1" s="15" t="s">
        <v>235</v>
      </c>
      <c r="N1" s="15" t="s">
        <v>236</v>
      </c>
      <c r="O1" s="15" t="s">
        <v>237</v>
      </c>
      <c r="P1" s="15" t="s">
        <v>238</v>
      </c>
      <c r="Q1" s="15" t="s">
        <v>239</v>
      </c>
      <c r="R1" s="15" t="s">
        <v>240</v>
      </c>
      <c r="S1" s="15" t="s">
        <v>241</v>
      </c>
      <c r="T1" s="15" t="s">
        <v>242</v>
      </c>
      <c r="U1" s="15" t="s">
        <v>243</v>
      </c>
      <c r="V1" s="15" t="s">
        <v>244</v>
      </c>
      <c r="W1" s="15" t="s">
        <v>245</v>
      </c>
      <c r="X1" s="15" t="s">
        <v>246</v>
      </c>
      <c r="Y1" s="15" t="s">
        <v>247</v>
      </c>
      <c r="Z1" s="15" t="s">
        <v>248</v>
      </c>
      <c r="AA1" s="15" t="s">
        <v>249</v>
      </c>
      <c r="AB1" s="15" t="s">
        <v>250</v>
      </c>
      <c r="AC1" s="15" t="s">
        <v>251</v>
      </c>
      <c r="AD1" s="15" t="s">
        <v>252</v>
      </c>
      <c r="AE1" s="15" t="s">
        <v>253</v>
      </c>
      <c r="AF1" s="15" t="s">
        <v>254</v>
      </c>
      <c r="AG1" s="15" t="s">
        <v>255</v>
      </c>
      <c r="AH1" s="15" t="s">
        <v>256</v>
      </c>
      <c r="AI1" s="15" t="s">
        <v>257</v>
      </c>
      <c r="AJ1" s="15" t="s">
        <v>258</v>
      </c>
      <c r="AK1" s="15" t="s">
        <v>259</v>
      </c>
      <c r="AL1" s="15" t="s">
        <v>260</v>
      </c>
      <c r="AM1" s="15" t="s">
        <v>261</v>
      </c>
      <c r="AN1" s="15" t="s">
        <v>262</v>
      </c>
      <c r="AO1" s="15" t="s">
        <v>263</v>
      </c>
      <c r="AP1" s="15" t="s">
        <v>264</v>
      </c>
      <c r="AQ1" s="15" t="s">
        <v>265</v>
      </c>
      <c r="AR1" s="15" t="s">
        <v>266</v>
      </c>
      <c r="AS1" s="15" t="s">
        <v>267</v>
      </c>
      <c r="AT1" s="15" t="s">
        <v>268</v>
      </c>
      <c r="AU1" s="15" t="s">
        <v>269</v>
      </c>
    </row>
    <row r="2" spans="1:47" x14ac:dyDescent="0.3">
      <c r="A2" s="16">
        <v>9</v>
      </c>
      <c r="B2" s="16">
        <v>14258</v>
      </c>
      <c r="C2" s="16" t="s">
        <v>270</v>
      </c>
      <c r="D2" s="16" t="s">
        <v>271</v>
      </c>
      <c r="E2" s="16" t="s">
        <v>272</v>
      </c>
      <c r="F2" s="16">
        <v>37.39</v>
      </c>
      <c r="G2" s="16">
        <v>8</v>
      </c>
      <c r="H2" s="16">
        <v>0</v>
      </c>
      <c r="I2" s="16">
        <v>37.659999999999997</v>
      </c>
      <c r="J2" s="16">
        <v>64.78</v>
      </c>
      <c r="K2" s="16" t="s">
        <v>273</v>
      </c>
      <c r="L2" s="16" t="s">
        <v>274</v>
      </c>
      <c r="M2" s="16">
        <v>47.99</v>
      </c>
      <c r="N2" s="16">
        <v>56</v>
      </c>
      <c r="O2" s="16" t="s">
        <v>274</v>
      </c>
      <c r="P2" s="16" t="s">
        <v>275</v>
      </c>
      <c r="Q2" s="16" t="s">
        <v>276</v>
      </c>
      <c r="R2" s="16" t="s">
        <v>277</v>
      </c>
      <c r="S2" s="16">
        <v>3.79</v>
      </c>
      <c r="T2" s="16">
        <v>1.3</v>
      </c>
      <c r="U2" s="16">
        <v>4.9000000000000004</v>
      </c>
      <c r="V2" s="16" t="s">
        <v>278</v>
      </c>
      <c r="W2" s="16" t="s">
        <v>279</v>
      </c>
      <c r="X2" s="16" t="b">
        <v>0</v>
      </c>
      <c r="Y2" s="16"/>
      <c r="Z2" s="16" t="b">
        <v>0</v>
      </c>
      <c r="AA2" s="16" t="b">
        <v>0</v>
      </c>
      <c r="AB2" s="16">
        <v>20.100000000000001</v>
      </c>
      <c r="AC2" s="16" t="s">
        <v>280</v>
      </c>
      <c r="AD2" s="16" t="s">
        <v>281</v>
      </c>
      <c r="AE2" s="16">
        <v>51.82</v>
      </c>
      <c r="AF2" s="16">
        <v>20</v>
      </c>
      <c r="AG2" s="16">
        <v>22.08</v>
      </c>
      <c r="AH2" s="16" t="s">
        <v>282</v>
      </c>
      <c r="AI2" s="16" t="s">
        <v>282</v>
      </c>
      <c r="AJ2" s="16" t="s">
        <v>283</v>
      </c>
      <c r="AK2" s="16">
        <v>0.35</v>
      </c>
      <c r="AL2" s="16">
        <v>-0.69945785533775839</v>
      </c>
      <c r="AM2" s="16">
        <v>28</v>
      </c>
      <c r="AN2" s="16">
        <v>0.77777777777777779</v>
      </c>
      <c r="AO2" s="16">
        <v>0.9953868883273026</v>
      </c>
      <c r="AP2" s="16">
        <v>50.38</v>
      </c>
      <c r="AQ2" s="16">
        <v>59.97</v>
      </c>
      <c r="AR2" s="16">
        <v>9.59</v>
      </c>
      <c r="AS2" s="16">
        <v>17.57</v>
      </c>
      <c r="AT2" s="16">
        <v>18.309999999999999</v>
      </c>
      <c r="AU2" s="16">
        <v>0.74</v>
      </c>
    </row>
    <row r="3" spans="1:47" x14ac:dyDescent="0.3">
      <c r="A3" s="16">
        <v>9</v>
      </c>
      <c r="B3" s="16">
        <v>11306</v>
      </c>
      <c r="C3" s="16" t="s">
        <v>284</v>
      </c>
      <c r="D3" s="16" t="s">
        <v>271</v>
      </c>
      <c r="E3" s="16" t="s">
        <v>285</v>
      </c>
      <c r="F3" s="16">
        <v>7.24</v>
      </c>
      <c r="G3" s="16">
        <v>0</v>
      </c>
      <c r="H3" s="16">
        <v>0</v>
      </c>
      <c r="I3" s="16">
        <v>41</v>
      </c>
      <c r="J3" s="16">
        <v>12.27</v>
      </c>
      <c r="K3" s="16" t="s">
        <v>286</v>
      </c>
      <c r="L3" s="16" t="s">
        <v>274</v>
      </c>
      <c r="M3" s="16">
        <v>10</v>
      </c>
      <c r="N3" s="16">
        <v>10</v>
      </c>
      <c r="O3" s="16" t="s">
        <v>274</v>
      </c>
      <c r="P3" s="16" t="s">
        <v>275</v>
      </c>
      <c r="Q3" s="16" t="s">
        <v>287</v>
      </c>
      <c r="R3" s="16" t="s">
        <v>288</v>
      </c>
      <c r="S3" s="16">
        <v>2.95</v>
      </c>
      <c r="T3" s="16">
        <v>0.8</v>
      </c>
      <c r="U3" s="16">
        <v>2.2999999999999998</v>
      </c>
      <c r="V3" s="16" t="s">
        <v>278</v>
      </c>
      <c r="W3" s="16" t="s">
        <v>279</v>
      </c>
      <c r="X3" s="16" t="b">
        <v>0</v>
      </c>
      <c r="Y3" s="16"/>
      <c r="Z3" s="16" t="b">
        <v>0</v>
      </c>
      <c r="AA3" s="16" t="b">
        <v>0</v>
      </c>
      <c r="AB3" s="16">
        <v>24.4</v>
      </c>
      <c r="AC3" s="16" t="s">
        <v>280</v>
      </c>
      <c r="AD3" s="16" t="s">
        <v>281</v>
      </c>
      <c r="AE3" s="16">
        <v>9.82</v>
      </c>
      <c r="AF3" s="16">
        <v>20</v>
      </c>
      <c r="AG3" s="16">
        <v>26.25</v>
      </c>
      <c r="AH3" s="16" t="s">
        <v>282</v>
      </c>
      <c r="AI3" s="16" t="s">
        <v>282</v>
      </c>
      <c r="AJ3" s="16" t="s">
        <v>283</v>
      </c>
      <c r="AK3" s="16">
        <v>0.35</v>
      </c>
      <c r="AL3" s="16">
        <v>-2.0773552673665541</v>
      </c>
      <c r="AM3" s="16">
        <v>83</v>
      </c>
      <c r="AN3" s="16">
        <v>1.3015873015873021</v>
      </c>
      <c r="AO3" s="16">
        <v>2.3831309963432221</v>
      </c>
      <c r="AP3" s="16">
        <v>15.97</v>
      </c>
      <c r="AQ3" s="16">
        <v>27.19</v>
      </c>
      <c r="AR3" s="16">
        <v>11.22</v>
      </c>
      <c r="AS3" s="16">
        <v>6.55</v>
      </c>
      <c r="AT3" s="16">
        <v>9.94</v>
      </c>
      <c r="AU3" s="16">
        <v>3.39</v>
      </c>
    </row>
    <row r="4" spans="1:47" x14ac:dyDescent="0.3">
      <c r="A4" s="16">
        <v>9</v>
      </c>
      <c r="B4" s="16">
        <v>26256</v>
      </c>
      <c r="C4" s="16" t="s">
        <v>289</v>
      </c>
      <c r="D4" s="16" t="s">
        <v>271</v>
      </c>
      <c r="E4" s="16" t="s">
        <v>272</v>
      </c>
      <c r="F4" s="16">
        <v>97.22</v>
      </c>
      <c r="G4" s="16">
        <v>8</v>
      </c>
      <c r="H4" s="16">
        <v>0</v>
      </c>
      <c r="I4" s="16">
        <v>30.32</v>
      </c>
      <c r="J4" s="16">
        <v>150.68</v>
      </c>
      <c r="K4" s="16" t="s">
        <v>273</v>
      </c>
      <c r="L4" s="16" t="s">
        <v>274</v>
      </c>
      <c r="M4" s="16">
        <v>122.15</v>
      </c>
      <c r="N4" s="16">
        <v>147.75</v>
      </c>
      <c r="O4" s="16" t="s">
        <v>290</v>
      </c>
      <c r="P4" s="16" t="s">
        <v>275</v>
      </c>
      <c r="Q4" s="16" t="s">
        <v>276</v>
      </c>
      <c r="R4" s="16" t="s">
        <v>288</v>
      </c>
      <c r="S4" s="16">
        <v>1.6</v>
      </c>
      <c r="T4" s="16">
        <v>3</v>
      </c>
      <c r="U4" s="16">
        <v>4.9000000000000004</v>
      </c>
      <c r="V4" s="16" t="s">
        <v>278</v>
      </c>
      <c r="W4" s="16" t="s">
        <v>279</v>
      </c>
      <c r="X4" s="16" t="b">
        <v>0</v>
      </c>
      <c r="Y4" s="16"/>
      <c r="Z4" s="16" t="b">
        <v>0</v>
      </c>
      <c r="AA4" s="16" t="b">
        <v>0</v>
      </c>
      <c r="AB4" s="16">
        <v>10.7</v>
      </c>
      <c r="AC4" s="16" t="s">
        <v>291</v>
      </c>
      <c r="AD4" s="16" t="s">
        <v>281</v>
      </c>
      <c r="AE4" s="16">
        <v>135.68</v>
      </c>
      <c r="AF4" s="16">
        <v>10</v>
      </c>
      <c r="AG4" s="16">
        <v>22.62</v>
      </c>
      <c r="AH4" s="16" t="s">
        <v>282</v>
      </c>
      <c r="AI4" s="16" t="s">
        <v>282</v>
      </c>
      <c r="AJ4" s="16" t="s">
        <v>283</v>
      </c>
      <c r="AK4" s="16">
        <v>0.55000000000000004</v>
      </c>
      <c r="AL4" s="16">
        <v>-1.3062965341984341</v>
      </c>
      <c r="AM4" s="16">
        <v>26</v>
      </c>
      <c r="AN4" s="16">
        <v>0.32804232804232802</v>
      </c>
      <c r="AO4" s="16">
        <v>0.4133179187245517</v>
      </c>
      <c r="AP4" s="16">
        <v>49.43</v>
      </c>
      <c r="AQ4" s="16">
        <v>58.87</v>
      </c>
      <c r="AR4" s="16">
        <v>9.44</v>
      </c>
      <c r="AS4" s="16">
        <v>13.88</v>
      </c>
      <c r="AT4" s="16">
        <v>14.33</v>
      </c>
      <c r="AU4" s="16">
        <v>0.45</v>
      </c>
    </row>
    <row r="5" spans="1:47" x14ac:dyDescent="0.3">
      <c r="A5" s="16">
        <v>9</v>
      </c>
      <c r="B5" s="16">
        <v>10458</v>
      </c>
      <c r="C5" s="16" t="s">
        <v>292</v>
      </c>
      <c r="D5" s="16" t="s">
        <v>271</v>
      </c>
      <c r="E5" s="16" t="s">
        <v>285</v>
      </c>
      <c r="F5" s="16">
        <v>7.84</v>
      </c>
      <c r="G5" s="16">
        <v>0</v>
      </c>
      <c r="H5" s="16">
        <v>0</v>
      </c>
      <c r="I5" s="16">
        <v>32.97</v>
      </c>
      <c r="J5" s="16">
        <v>11.7</v>
      </c>
      <c r="K5" s="16" t="s">
        <v>273</v>
      </c>
      <c r="L5" s="16" t="s">
        <v>274</v>
      </c>
      <c r="M5" s="16">
        <v>10.5</v>
      </c>
      <c r="N5" s="16">
        <v>13.62</v>
      </c>
      <c r="O5" s="16" t="s">
        <v>293</v>
      </c>
      <c r="P5" s="16" t="s">
        <v>275</v>
      </c>
      <c r="Q5" s="16" t="s">
        <v>287</v>
      </c>
      <c r="R5" s="16" t="s">
        <v>277</v>
      </c>
      <c r="S5" s="16">
        <v>3</v>
      </c>
      <c r="T5" s="16">
        <v>0.8</v>
      </c>
      <c r="U5" s="16">
        <v>2.2999999999999998</v>
      </c>
      <c r="V5" s="16" t="s">
        <v>278</v>
      </c>
      <c r="W5" s="16" t="s">
        <v>279</v>
      </c>
      <c r="X5" s="16" t="b">
        <v>0</v>
      </c>
      <c r="Y5" s="16"/>
      <c r="Z5" s="16" t="b">
        <v>0</v>
      </c>
      <c r="AA5" s="16" t="b">
        <v>0</v>
      </c>
      <c r="AB5" s="16">
        <v>14.1</v>
      </c>
      <c r="AC5" s="16" t="s">
        <v>294</v>
      </c>
      <c r="AD5" s="16" t="s">
        <v>281</v>
      </c>
      <c r="AE5" s="16">
        <v>11</v>
      </c>
      <c r="AF5" s="16">
        <v>6</v>
      </c>
      <c r="AG5" s="16">
        <v>28.71</v>
      </c>
      <c r="AH5" s="16" t="s">
        <v>282</v>
      </c>
      <c r="AI5" s="16" t="s">
        <v>282</v>
      </c>
      <c r="AJ5" s="16" t="s">
        <v>283</v>
      </c>
      <c r="AK5" s="16">
        <v>0.4</v>
      </c>
      <c r="AL5" s="16">
        <v>-0.93255994056187663</v>
      </c>
      <c r="AM5" s="16">
        <v>11</v>
      </c>
      <c r="AN5" s="16">
        <v>1.322751322751323</v>
      </c>
      <c r="AO5" s="16">
        <v>1.470283292184128</v>
      </c>
      <c r="AP5" s="16">
        <v>15.48</v>
      </c>
      <c r="AQ5" s="16">
        <v>16.79</v>
      </c>
      <c r="AR5" s="16">
        <v>1.31</v>
      </c>
      <c r="AS5" s="16">
        <v>5.0999999999999996</v>
      </c>
      <c r="AT5" s="16">
        <v>5.26</v>
      </c>
      <c r="AU5" s="16">
        <v>0.16</v>
      </c>
    </row>
    <row r="6" spans="1:47" x14ac:dyDescent="0.3">
      <c r="A6" s="17">
        <v>9</v>
      </c>
      <c r="B6" s="17">
        <v>12230</v>
      </c>
      <c r="C6" s="17" t="s">
        <v>295</v>
      </c>
      <c r="D6" s="17" t="s">
        <v>271</v>
      </c>
      <c r="E6" s="17" t="s">
        <v>296</v>
      </c>
      <c r="F6" s="17">
        <v>42.11</v>
      </c>
      <c r="G6" s="17">
        <v>0</v>
      </c>
      <c r="H6" s="17">
        <v>0</v>
      </c>
      <c r="I6" s="17">
        <v>54.42</v>
      </c>
      <c r="J6" s="17">
        <v>92.39</v>
      </c>
      <c r="K6" s="17" t="s">
        <v>286</v>
      </c>
      <c r="L6" s="17" t="s">
        <v>293</v>
      </c>
      <c r="M6" s="17">
        <v>98</v>
      </c>
      <c r="N6" s="17">
        <v>98</v>
      </c>
      <c r="O6" s="17" t="s">
        <v>293</v>
      </c>
      <c r="P6" s="17" t="s">
        <v>275</v>
      </c>
      <c r="Q6" s="17" t="s">
        <v>287</v>
      </c>
      <c r="R6" s="17" t="s">
        <v>277</v>
      </c>
      <c r="S6" s="17">
        <v>0.31</v>
      </c>
      <c r="T6" s="17">
        <v>17.2</v>
      </c>
      <c r="U6" s="17">
        <v>5.2</v>
      </c>
      <c r="V6" s="17" t="s">
        <v>278</v>
      </c>
      <c r="W6" s="17" t="s">
        <v>279</v>
      </c>
      <c r="X6" s="17" t="b">
        <v>0</v>
      </c>
      <c r="Y6" s="17"/>
      <c r="Z6" s="17" t="b">
        <v>1</v>
      </c>
      <c r="AA6" s="17" t="b">
        <v>0</v>
      </c>
      <c r="AB6" s="17">
        <v>41.6</v>
      </c>
      <c r="AC6" s="17" t="s">
        <v>297</v>
      </c>
      <c r="AD6" s="17" t="s">
        <v>281</v>
      </c>
      <c r="AE6" s="17">
        <v>87.77</v>
      </c>
      <c r="AF6" s="17">
        <v>5</v>
      </c>
      <c r="AG6" s="17">
        <v>52.02</v>
      </c>
      <c r="AH6" s="17" t="s">
        <v>282</v>
      </c>
      <c r="AI6" s="17" t="s">
        <v>282</v>
      </c>
      <c r="AJ6" s="17" t="s">
        <v>298</v>
      </c>
      <c r="AK6" s="17">
        <v>0.55000000000000004</v>
      </c>
      <c r="AL6" s="17">
        <v>-0.77993434863374778</v>
      </c>
      <c r="AM6" s="17">
        <v>8</v>
      </c>
      <c r="AN6" s="17">
        <v>5.8201058201058198E-2</v>
      </c>
      <c r="AO6" s="17">
        <v>6.2740358642841915E-2</v>
      </c>
      <c r="AP6" s="17">
        <v>5.38</v>
      </c>
      <c r="AQ6" s="17">
        <v>5.64</v>
      </c>
      <c r="AR6" s="17">
        <v>0.26</v>
      </c>
      <c r="AS6" s="17">
        <v>2.93</v>
      </c>
      <c r="AT6" s="17">
        <v>3</v>
      </c>
      <c r="AU6" s="17">
        <v>7.0000000000000007E-2</v>
      </c>
    </row>
    <row r="7" spans="1:47" x14ac:dyDescent="0.3">
      <c r="A7" s="16">
        <v>9</v>
      </c>
      <c r="B7" s="16">
        <v>13597</v>
      </c>
      <c r="C7" s="16" t="s">
        <v>299</v>
      </c>
      <c r="D7" s="16" t="s">
        <v>271</v>
      </c>
      <c r="E7" s="16" t="s">
        <v>300</v>
      </c>
      <c r="F7" s="16">
        <v>29.83</v>
      </c>
      <c r="G7" s="16">
        <v>0</v>
      </c>
      <c r="H7" s="16">
        <v>0</v>
      </c>
      <c r="I7" s="16">
        <v>38.630000000000003</v>
      </c>
      <c r="J7" s="16">
        <v>48.61</v>
      </c>
      <c r="K7" s="16" t="s">
        <v>273</v>
      </c>
      <c r="L7" s="16" t="s">
        <v>274</v>
      </c>
      <c r="M7" s="16">
        <v>45.67</v>
      </c>
      <c r="N7" s="16">
        <v>49.72</v>
      </c>
      <c r="O7" s="16" t="s">
        <v>293</v>
      </c>
      <c r="P7" s="16" t="s">
        <v>301</v>
      </c>
      <c r="Q7" s="16" t="s">
        <v>287</v>
      </c>
      <c r="R7" s="16" t="s">
        <v>277</v>
      </c>
      <c r="S7" s="16">
        <v>1.79</v>
      </c>
      <c r="T7" s="16">
        <v>2.7</v>
      </c>
      <c r="U7" s="16">
        <v>4.8</v>
      </c>
      <c r="V7" s="16" t="s">
        <v>278</v>
      </c>
      <c r="W7" s="16" t="s">
        <v>279</v>
      </c>
      <c r="X7" s="16" t="b">
        <v>0</v>
      </c>
      <c r="Y7" s="16"/>
      <c r="Z7" s="16" t="b">
        <v>0</v>
      </c>
      <c r="AA7" s="16" t="b">
        <v>0</v>
      </c>
      <c r="AB7" s="16">
        <v>21.3</v>
      </c>
      <c r="AC7" s="16" t="s">
        <v>297</v>
      </c>
      <c r="AD7" s="16" t="s">
        <v>281</v>
      </c>
      <c r="AE7" s="16">
        <v>46.18</v>
      </c>
      <c r="AF7" s="16">
        <v>5</v>
      </c>
      <c r="AG7" s="16">
        <v>35.4</v>
      </c>
      <c r="AH7" s="16" t="s">
        <v>282</v>
      </c>
      <c r="AI7" s="16" t="s">
        <v>282</v>
      </c>
      <c r="AJ7" s="16" t="s">
        <v>283</v>
      </c>
      <c r="AK7" s="16">
        <v>0.55000000000000004</v>
      </c>
      <c r="AL7" s="16">
        <v>-0.89790131647714322</v>
      </c>
      <c r="AM7" s="16">
        <v>9</v>
      </c>
      <c r="AN7" s="16">
        <v>0.37566137566137559</v>
      </c>
      <c r="AO7" s="16">
        <v>0.40939206003697198</v>
      </c>
      <c r="AP7" s="16">
        <v>18.260000000000002</v>
      </c>
      <c r="AQ7" s="16">
        <v>19.350000000000001</v>
      </c>
      <c r="AR7" s="16">
        <v>1.0900000000000001</v>
      </c>
      <c r="AS7" s="16">
        <v>7.05</v>
      </c>
      <c r="AT7" s="16">
        <v>7.14</v>
      </c>
      <c r="AU7" s="16">
        <v>0.09</v>
      </c>
    </row>
    <row r="8" spans="1:47" x14ac:dyDescent="0.3">
      <c r="A8" s="16">
        <v>14</v>
      </c>
      <c r="B8" s="16">
        <v>12599</v>
      </c>
      <c r="C8" s="16" t="s">
        <v>302</v>
      </c>
      <c r="D8" s="16" t="s">
        <v>271</v>
      </c>
      <c r="E8" s="16" t="s">
        <v>303</v>
      </c>
      <c r="F8" s="16">
        <v>68.5</v>
      </c>
      <c r="G8" s="16">
        <v>0</v>
      </c>
      <c r="H8" s="16">
        <v>0</v>
      </c>
      <c r="I8" s="16">
        <v>39</v>
      </c>
      <c r="J8" s="16">
        <v>112.3</v>
      </c>
      <c r="K8" s="16" t="s">
        <v>273</v>
      </c>
      <c r="L8" s="16" t="s">
        <v>274</v>
      </c>
      <c r="M8" s="16">
        <v>104.27</v>
      </c>
      <c r="N8" s="16">
        <v>126</v>
      </c>
      <c r="O8" s="16" t="s">
        <v>293</v>
      </c>
      <c r="P8" s="16" t="s">
        <v>275</v>
      </c>
      <c r="Q8" s="16" t="s">
        <v>276</v>
      </c>
      <c r="R8" s="16" t="s">
        <v>304</v>
      </c>
      <c r="S8" s="16">
        <v>1.1399999999999999</v>
      </c>
      <c r="T8" s="16">
        <v>1.9</v>
      </c>
      <c r="U8" s="16">
        <v>2.2000000000000002</v>
      </c>
      <c r="V8" s="16" t="s">
        <v>278</v>
      </c>
      <c r="W8" s="16" t="s">
        <v>279</v>
      </c>
      <c r="X8" s="16" t="b">
        <v>0</v>
      </c>
      <c r="Y8" s="16"/>
      <c r="Z8" s="16" t="b">
        <v>0</v>
      </c>
      <c r="AA8" s="16" t="b">
        <v>0</v>
      </c>
      <c r="AB8" s="16">
        <v>21.8</v>
      </c>
      <c r="AC8" s="16" t="s">
        <v>280</v>
      </c>
      <c r="AD8" s="16" t="s">
        <v>281</v>
      </c>
      <c r="AE8" s="16">
        <v>89.84</v>
      </c>
      <c r="AF8" s="16">
        <v>20</v>
      </c>
      <c r="AG8" s="16">
        <v>23.75</v>
      </c>
      <c r="AH8" s="16" t="s">
        <v>282</v>
      </c>
      <c r="AI8" s="16" t="s">
        <v>282</v>
      </c>
      <c r="AJ8" s="16" t="s">
        <v>283</v>
      </c>
      <c r="AK8" s="16">
        <v>0.35</v>
      </c>
      <c r="AL8" s="16">
        <v>-0.86928018819184949</v>
      </c>
      <c r="AM8" s="16">
        <v>35</v>
      </c>
      <c r="AN8" s="16">
        <v>0.51322751322751325</v>
      </c>
      <c r="AO8" s="16">
        <v>0.69168291694097228</v>
      </c>
      <c r="AP8" s="16">
        <v>57.64</v>
      </c>
      <c r="AQ8" s="16">
        <v>72.239999999999995</v>
      </c>
      <c r="AR8" s="16">
        <v>14.6</v>
      </c>
      <c r="AS8" s="16">
        <v>22.48</v>
      </c>
      <c r="AT8" s="16">
        <v>24.86</v>
      </c>
      <c r="AU8" s="16">
        <v>2.38</v>
      </c>
    </row>
    <row r="9" spans="1:47" x14ac:dyDescent="0.3">
      <c r="A9" s="16">
        <v>14</v>
      </c>
      <c r="B9" s="16">
        <v>14258</v>
      </c>
      <c r="C9" s="16" t="s">
        <v>270</v>
      </c>
      <c r="D9" s="16" t="s">
        <v>271</v>
      </c>
      <c r="E9" s="16" t="s">
        <v>272</v>
      </c>
      <c r="F9" s="16">
        <v>37.39</v>
      </c>
      <c r="G9" s="16">
        <v>8</v>
      </c>
      <c r="H9" s="16">
        <v>0</v>
      </c>
      <c r="I9" s="16">
        <v>37.659999999999997</v>
      </c>
      <c r="J9" s="16">
        <v>64.78</v>
      </c>
      <c r="K9" s="16" t="s">
        <v>273</v>
      </c>
      <c r="L9" s="16" t="s">
        <v>274</v>
      </c>
      <c r="M9" s="16">
        <v>47.99</v>
      </c>
      <c r="N9" s="16">
        <v>56</v>
      </c>
      <c r="O9" s="16" t="s">
        <v>274</v>
      </c>
      <c r="P9" s="16" t="s">
        <v>275</v>
      </c>
      <c r="Q9" s="16" t="s">
        <v>276</v>
      </c>
      <c r="R9" s="16" t="s">
        <v>277</v>
      </c>
      <c r="S9" s="16">
        <v>3.77</v>
      </c>
      <c r="T9" s="16">
        <v>0.3</v>
      </c>
      <c r="U9" s="16">
        <v>1.1000000000000001</v>
      </c>
      <c r="V9" s="16" t="s">
        <v>278</v>
      </c>
      <c r="W9" s="16" t="s">
        <v>279</v>
      </c>
      <c r="X9" s="16" t="b">
        <v>0</v>
      </c>
      <c r="Y9" s="16"/>
      <c r="Z9" s="16" t="b">
        <v>0</v>
      </c>
      <c r="AA9" s="16" t="b">
        <v>0</v>
      </c>
      <c r="AB9" s="16">
        <v>20.100000000000001</v>
      </c>
      <c r="AC9" s="16" t="s">
        <v>280</v>
      </c>
      <c r="AD9" s="16" t="s">
        <v>281</v>
      </c>
      <c r="AE9" s="16">
        <v>51.82</v>
      </c>
      <c r="AF9" s="16">
        <v>20</v>
      </c>
      <c r="AG9" s="16">
        <v>22.08</v>
      </c>
      <c r="AH9" s="16" t="s">
        <v>282</v>
      </c>
      <c r="AI9" s="16" t="s">
        <v>282</v>
      </c>
      <c r="AJ9" s="16" t="s">
        <v>283</v>
      </c>
      <c r="AK9" s="16">
        <v>0.35</v>
      </c>
      <c r="AL9" s="16">
        <v>-1.0422720399311141</v>
      </c>
      <c r="AM9" s="16">
        <v>42</v>
      </c>
      <c r="AN9" s="16">
        <v>3.306878306878307</v>
      </c>
      <c r="AO9" s="16">
        <v>4.6855450263639069</v>
      </c>
      <c r="AP9" s="16">
        <v>214.22</v>
      </c>
      <c r="AQ9" s="16">
        <v>282.27999999999997</v>
      </c>
      <c r="AR9" s="16">
        <v>68.06</v>
      </c>
      <c r="AS9" s="16">
        <v>74.7</v>
      </c>
      <c r="AT9" s="16">
        <v>86.17</v>
      </c>
      <c r="AU9" s="16">
        <v>11.47</v>
      </c>
    </row>
    <row r="10" spans="1:47" x14ac:dyDescent="0.3">
      <c r="A10" s="16">
        <v>14</v>
      </c>
      <c r="B10" s="16">
        <v>11306</v>
      </c>
      <c r="C10" s="16" t="s">
        <v>284</v>
      </c>
      <c r="D10" s="16" t="s">
        <v>271</v>
      </c>
      <c r="E10" s="16" t="s">
        <v>285</v>
      </c>
      <c r="F10" s="16">
        <v>7.24</v>
      </c>
      <c r="G10" s="16">
        <v>0</v>
      </c>
      <c r="H10" s="16">
        <v>0</v>
      </c>
      <c r="I10" s="16">
        <v>41</v>
      </c>
      <c r="J10" s="16">
        <v>12.27</v>
      </c>
      <c r="K10" s="16" t="s">
        <v>286</v>
      </c>
      <c r="L10" s="16" t="s">
        <v>274</v>
      </c>
      <c r="M10" s="16">
        <v>10</v>
      </c>
      <c r="N10" s="16">
        <v>10</v>
      </c>
      <c r="O10" s="16" t="s">
        <v>274</v>
      </c>
      <c r="P10" s="16" t="s">
        <v>275</v>
      </c>
      <c r="Q10" s="16" t="s">
        <v>287</v>
      </c>
      <c r="R10" s="16" t="s">
        <v>288</v>
      </c>
      <c r="S10" s="16">
        <v>2.11</v>
      </c>
      <c r="T10" s="16">
        <v>0.3</v>
      </c>
      <c r="U10" s="16">
        <v>0.6</v>
      </c>
      <c r="V10" s="16" t="s">
        <v>278</v>
      </c>
      <c r="W10" s="16" t="s">
        <v>279</v>
      </c>
      <c r="X10" s="16" t="b">
        <v>0</v>
      </c>
      <c r="Y10" s="16"/>
      <c r="Z10" s="16" t="b">
        <v>0</v>
      </c>
      <c r="AA10" s="16" t="b">
        <v>0</v>
      </c>
      <c r="AB10" s="16">
        <v>24.4</v>
      </c>
      <c r="AC10" s="16" t="s">
        <v>280</v>
      </c>
      <c r="AD10" s="16" t="s">
        <v>281</v>
      </c>
      <c r="AE10" s="16">
        <v>9.82</v>
      </c>
      <c r="AF10" s="16">
        <v>20</v>
      </c>
      <c r="AG10" s="16">
        <v>26.25</v>
      </c>
      <c r="AH10" s="16" t="s">
        <v>282</v>
      </c>
      <c r="AI10" s="16" t="s">
        <v>282</v>
      </c>
      <c r="AJ10" s="16" t="s">
        <v>283</v>
      </c>
      <c r="AK10" s="16">
        <v>0.35</v>
      </c>
      <c r="AL10" s="16">
        <v>-2.3632471231485619</v>
      </c>
      <c r="AM10" s="16">
        <v>95</v>
      </c>
      <c r="AN10" s="16">
        <v>3.4761904761904758</v>
      </c>
      <c r="AO10" s="16">
        <v>6.7622293331399046</v>
      </c>
      <c r="AP10" s="16">
        <v>42.65</v>
      </c>
      <c r="AQ10" s="16">
        <v>77.16</v>
      </c>
      <c r="AR10" s="16">
        <v>34.51</v>
      </c>
      <c r="AS10" s="16">
        <v>17.489999999999998</v>
      </c>
      <c r="AT10" s="16">
        <v>28.21</v>
      </c>
      <c r="AU10" s="16">
        <v>10.72</v>
      </c>
    </row>
    <row r="11" spans="1:47" x14ac:dyDescent="0.3">
      <c r="A11" s="16">
        <v>14</v>
      </c>
      <c r="B11" s="16">
        <v>13597</v>
      </c>
      <c r="C11" s="16" t="s">
        <v>299</v>
      </c>
      <c r="D11" s="16" t="s">
        <v>271</v>
      </c>
      <c r="E11" s="16" t="s">
        <v>300</v>
      </c>
      <c r="F11" s="16">
        <v>29.83</v>
      </c>
      <c r="G11" s="16">
        <v>0</v>
      </c>
      <c r="H11" s="16">
        <v>0</v>
      </c>
      <c r="I11" s="16">
        <v>38.630000000000003</v>
      </c>
      <c r="J11" s="16">
        <v>48.61</v>
      </c>
      <c r="K11" s="16" t="s">
        <v>273</v>
      </c>
      <c r="L11" s="16" t="s">
        <v>274</v>
      </c>
      <c r="M11" s="16">
        <v>45.34</v>
      </c>
      <c r="N11" s="16">
        <v>50.27</v>
      </c>
      <c r="O11" s="16" t="s">
        <v>293</v>
      </c>
      <c r="P11" s="16" t="s">
        <v>275</v>
      </c>
      <c r="Q11" s="16" t="s">
        <v>276</v>
      </c>
      <c r="R11" s="16" t="s">
        <v>277</v>
      </c>
      <c r="S11" s="16">
        <v>2.1800000000000002</v>
      </c>
      <c r="T11" s="16">
        <v>0.6</v>
      </c>
      <c r="U11" s="16">
        <v>1.2</v>
      </c>
      <c r="V11" s="16" t="s">
        <v>278</v>
      </c>
      <c r="W11" s="16" t="s">
        <v>279</v>
      </c>
      <c r="X11" s="16" t="b">
        <v>0</v>
      </c>
      <c r="Y11" s="16"/>
      <c r="Z11" s="16" t="b">
        <v>0</v>
      </c>
      <c r="AA11" s="16" t="b">
        <v>0</v>
      </c>
      <c r="AB11" s="16">
        <v>21.3</v>
      </c>
      <c r="AC11" s="16" t="s">
        <v>305</v>
      </c>
      <c r="AD11" s="16" t="s">
        <v>281</v>
      </c>
      <c r="AE11" s="16">
        <v>40.51</v>
      </c>
      <c r="AF11" s="16">
        <v>16.7</v>
      </c>
      <c r="AG11" s="16">
        <v>26.35</v>
      </c>
      <c r="AH11" s="16" t="s">
        <v>282</v>
      </c>
      <c r="AI11" s="16" t="s">
        <v>282</v>
      </c>
      <c r="AJ11" s="16" t="s">
        <v>283</v>
      </c>
      <c r="AK11" s="16">
        <v>0.35</v>
      </c>
      <c r="AL11" s="16">
        <v>-0.65008922857494933</v>
      </c>
      <c r="AM11" s="16">
        <v>22</v>
      </c>
      <c r="AN11" s="16">
        <v>1.804232804232804</v>
      </c>
      <c r="AO11" s="16">
        <v>2.1952817690113688</v>
      </c>
      <c r="AP11" s="16">
        <v>87.7</v>
      </c>
      <c r="AQ11" s="16">
        <v>100.49</v>
      </c>
      <c r="AR11" s="16">
        <v>12.79</v>
      </c>
      <c r="AS11" s="16">
        <v>33.880000000000003</v>
      </c>
      <c r="AT11" s="16">
        <v>35</v>
      </c>
      <c r="AU11" s="16">
        <v>1.1200000000000001</v>
      </c>
    </row>
    <row r="12" spans="1:47" x14ac:dyDescent="0.3">
      <c r="A12" s="16">
        <v>14</v>
      </c>
      <c r="B12" s="16">
        <v>15858</v>
      </c>
      <c r="C12" s="16" t="s">
        <v>306</v>
      </c>
      <c r="D12" s="16" t="s">
        <v>271</v>
      </c>
      <c r="E12" s="16" t="s">
        <v>300</v>
      </c>
      <c r="F12" s="16">
        <v>47.15</v>
      </c>
      <c r="G12" s="16">
        <v>0</v>
      </c>
      <c r="H12" s="16">
        <v>0</v>
      </c>
      <c r="I12" s="16">
        <v>38.840000000000003</v>
      </c>
      <c r="J12" s="16">
        <v>77.09</v>
      </c>
      <c r="K12" s="16" t="s">
        <v>273</v>
      </c>
      <c r="L12" s="16" t="s">
        <v>274</v>
      </c>
      <c r="M12" s="16">
        <v>71.23</v>
      </c>
      <c r="N12" s="16">
        <v>76.56</v>
      </c>
      <c r="O12" s="16" t="s">
        <v>290</v>
      </c>
      <c r="P12" s="16" t="s">
        <v>275</v>
      </c>
      <c r="Q12" s="16" t="s">
        <v>276</v>
      </c>
      <c r="R12" s="16" t="s">
        <v>277</v>
      </c>
      <c r="S12" s="16">
        <v>1.04</v>
      </c>
      <c r="T12" s="16">
        <v>1.2</v>
      </c>
      <c r="U12" s="16">
        <v>1.2</v>
      </c>
      <c r="V12" s="16" t="s">
        <v>278</v>
      </c>
      <c r="W12" s="16" t="s">
        <v>279</v>
      </c>
      <c r="X12" s="16" t="b">
        <v>0</v>
      </c>
      <c r="Y12" s="16"/>
      <c r="Z12" s="16" t="b">
        <v>0</v>
      </c>
      <c r="AA12" s="16" t="b">
        <v>0</v>
      </c>
      <c r="AB12" s="16">
        <v>21.6</v>
      </c>
      <c r="AC12" s="16" t="s">
        <v>305</v>
      </c>
      <c r="AD12" s="16" t="s">
        <v>281</v>
      </c>
      <c r="AE12" s="16">
        <v>64.239999999999995</v>
      </c>
      <c r="AF12" s="16">
        <v>16.7</v>
      </c>
      <c r="AG12" s="16">
        <v>26.61</v>
      </c>
      <c r="AH12" s="16" t="s">
        <v>282</v>
      </c>
      <c r="AI12" s="16" t="s">
        <v>282</v>
      </c>
      <c r="AJ12" s="16" t="s">
        <v>283</v>
      </c>
      <c r="AK12" s="16">
        <v>0.35</v>
      </c>
      <c r="AL12" s="16">
        <v>-0.74875943239873932</v>
      </c>
      <c r="AM12" s="16">
        <v>25</v>
      </c>
      <c r="AN12" s="16">
        <v>0.86243386243386244</v>
      </c>
      <c r="AO12" s="16">
        <v>1.0777287425722939</v>
      </c>
      <c r="AP12" s="16">
        <v>66.489999999999995</v>
      </c>
      <c r="AQ12" s="16">
        <v>78.23</v>
      </c>
      <c r="AR12" s="16">
        <v>11.74</v>
      </c>
      <c r="AS12" s="16">
        <v>25.82</v>
      </c>
      <c r="AT12" s="16">
        <v>27.42</v>
      </c>
      <c r="AU12" s="16">
        <v>1.6</v>
      </c>
    </row>
    <row r="13" spans="1:47" x14ac:dyDescent="0.3">
      <c r="A13" s="16">
        <v>14</v>
      </c>
      <c r="B13" s="16">
        <v>26256</v>
      </c>
      <c r="C13" s="16" t="s">
        <v>289</v>
      </c>
      <c r="D13" s="16" t="s">
        <v>271</v>
      </c>
      <c r="E13" s="16" t="s">
        <v>272</v>
      </c>
      <c r="F13" s="16">
        <v>97.22</v>
      </c>
      <c r="G13" s="16">
        <v>8</v>
      </c>
      <c r="H13" s="16">
        <v>0</v>
      </c>
      <c r="I13" s="16">
        <v>30.32</v>
      </c>
      <c r="J13" s="16">
        <v>150.68</v>
      </c>
      <c r="K13" s="16" t="s">
        <v>273</v>
      </c>
      <c r="L13" s="16" t="s">
        <v>274</v>
      </c>
      <c r="M13" s="16">
        <v>127.83</v>
      </c>
      <c r="N13" s="16">
        <v>150.72999999999999</v>
      </c>
      <c r="O13" s="16" t="s">
        <v>293</v>
      </c>
      <c r="P13" s="16" t="s">
        <v>275</v>
      </c>
      <c r="Q13" s="16" t="s">
        <v>276</v>
      </c>
      <c r="R13" s="16" t="s">
        <v>288</v>
      </c>
      <c r="S13" s="16">
        <v>1.75</v>
      </c>
      <c r="T13" s="16">
        <v>0.6</v>
      </c>
      <c r="U13" s="16">
        <v>1.1000000000000001</v>
      </c>
      <c r="V13" s="16" t="s">
        <v>278</v>
      </c>
      <c r="W13" s="16" t="s">
        <v>279</v>
      </c>
      <c r="X13" s="16" t="b">
        <v>0</v>
      </c>
      <c r="Y13" s="16"/>
      <c r="Z13" s="16" t="b">
        <v>0</v>
      </c>
      <c r="AA13" s="16" t="b">
        <v>0</v>
      </c>
      <c r="AB13" s="16">
        <v>10.7</v>
      </c>
      <c r="AC13" s="16" t="s">
        <v>291</v>
      </c>
      <c r="AD13" s="16" t="s">
        <v>281</v>
      </c>
      <c r="AE13" s="16">
        <v>135.68</v>
      </c>
      <c r="AF13" s="16">
        <v>10</v>
      </c>
      <c r="AG13" s="16">
        <v>22.62</v>
      </c>
      <c r="AH13" s="16" t="s">
        <v>282</v>
      </c>
      <c r="AI13" s="16" t="s">
        <v>282</v>
      </c>
      <c r="AJ13" s="16" t="s">
        <v>283</v>
      </c>
      <c r="AK13" s="16">
        <v>0.55000000000000004</v>
      </c>
      <c r="AL13" s="16">
        <v>-3.0333064680715842</v>
      </c>
      <c r="AM13" s="16">
        <v>60</v>
      </c>
      <c r="AN13" s="16">
        <v>1.53968253968254</v>
      </c>
      <c r="AO13" s="16">
        <v>2.4690780119553302</v>
      </c>
      <c r="AP13" s="16">
        <v>232</v>
      </c>
      <c r="AQ13" s="16">
        <v>351.68</v>
      </c>
      <c r="AR13" s="16">
        <v>119.68</v>
      </c>
      <c r="AS13" s="16">
        <v>65.13</v>
      </c>
      <c r="AT13" s="16">
        <v>85.6</v>
      </c>
      <c r="AU13" s="16">
        <v>20.47</v>
      </c>
    </row>
    <row r="14" spans="1:47" x14ac:dyDescent="0.3">
      <c r="A14" s="16">
        <v>14</v>
      </c>
      <c r="B14" s="16">
        <v>20648</v>
      </c>
      <c r="C14" s="16" t="s">
        <v>307</v>
      </c>
      <c r="D14" s="16" t="s">
        <v>308</v>
      </c>
      <c r="E14" s="16" t="s">
        <v>309</v>
      </c>
      <c r="F14" s="16">
        <v>91.15</v>
      </c>
      <c r="G14" s="16">
        <v>0</v>
      </c>
      <c r="H14" s="16">
        <v>16</v>
      </c>
      <c r="I14" s="16">
        <v>31.85</v>
      </c>
      <c r="J14" s="16">
        <v>155.15</v>
      </c>
      <c r="K14" s="16" t="s">
        <v>273</v>
      </c>
      <c r="L14" s="16" t="s">
        <v>274</v>
      </c>
      <c r="M14" s="16">
        <v>111.62</v>
      </c>
      <c r="N14" s="16">
        <v>150.29</v>
      </c>
      <c r="O14" s="16" t="s">
        <v>290</v>
      </c>
      <c r="P14" s="16" t="s">
        <v>301</v>
      </c>
      <c r="Q14" s="16" t="s">
        <v>287</v>
      </c>
      <c r="R14" s="16" t="s">
        <v>304</v>
      </c>
      <c r="S14" s="16">
        <v>1.21</v>
      </c>
      <c r="T14" s="16">
        <v>4.8</v>
      </c>
      <c r="U14" s="16">
        <v>5.9</v>
      </c>
      <c r="V14" s="16" t="s">
        <v>278</v>
      </c>
      <c r="W14" s="16" t="s">
        <v>279</v>
      </c>
      <c r="X14" s="16" t="b">
        <v>0</v>
      </c>
      <c r="Y14" s="16"/>
      <c r="Z14" s="16" t="b">
        <v>0</v>
      </c>
      <c r="AA14" s="16" t="b">
        <v>0</v>
      </c>
      <c r="AB14" s="16">
        <v>12.6</v>
      </c>
      <c r="AC14" s="16" t="s">
        <v>291</v>
      </c>
      <c r="AD14" s="16" t="s">
        <v>281</v>
      </c>
      <c r="AE14" s="16">
        <v>140.15</v>
      </c>
      <c r="AF14" s="16">
        <v>9.6999999999999993</v>
      </c>
      <c r="AG14" s="16">
        <v>24.55</v>
      </c>
      <c r="AH14" s="16" t="s">
        <v>282</v>
      </c>
      <c r="AI14" s="16" t="s">
        <v>282</v>
      </c>
      <c r="AJ14" s="16" t="s">
        <v>283</v>
      </c>
      <c r="AK14" s="16">
        <v>0.55000000000000004</v>
      </c>
      <c r="AL14" s="16">
        <v>-1.2386583994180149</v>
      </c>
      <c r="AM14" s="16">
        <v>24</v>
      </c>
      <c r="AN14" s="16">
        <v>0.20634920634920631</v>
      </c>
      <c r="AO14" s="16">
        <v>0.25578150710820269</v>
      </c>
      <c r="AP14" s="16">
        <v>32.020000000000003</v>
      </c>
      <c r="AQ14" s="16">
        <v>37.57</v>
      </c>
      <c r="AR14" s="16">
        <v>5.55</v>
      </c>
      <c r="AS14" s="16">
        <v>8.7899999999999991</v>
      </c>
      <c r="AT14" s="16">
        <v>9.08</v>
      </c>
      <c r="AU14" s="16">
        <v>0.28999999999999998</v>
      </c>
    </row>
    <row r="15" spans="1:47" x14ac:dyDescent="0.3">
      <c r="A15" s="16">
        <v>14</v>
      </c>
      <c r="B15" s="16">
        <v>10458</v>
      </c>
      <c r="C15" s="16" t="s">
        <v>292</v>
      </c>
      <c r="D15" s="16" t="s">
        <v>271</v>
      </c>
      <c r="E15" s="16" t="s">
        <v>285</v>
      </c>
      <c r="F15" s="16">
        <v>7.84</v>
      </c>
      <c r="G15" s="16">
        <v>0</v>
      </c>
      <c r="H15" s="16">
        <v>0</v>
      </c>
      <c r="I15" s="16">
        <v>32.97</v>
      </c>
      <c r="J15" s="16">
        <v>11.7</v>
      </c>
      <c r="K15" s="16" t="s">
        <v>273</v>
      </c>
      <c r="L15" s="16" t="s">
        <v>274</v>
      </c>
      <c r="M15" s="16">
        <v>10.34</v>
      </c>
      <c r="N15" s="16">
        <v>13.77</v>
      </c>
      <c r="O15" s="16" t="s">
        <v>293</v>
      </c>
      <c r="P15" s="16" t="s">
        <v>275</v>
      </c>
      <c r="Q15" s="16" t="s">
        <v>276</v>
      </c>
      <c r="R15" s="16" t="s">
        <v>277</v>
      </c>
      <c r="S15" s="16">
        <v>2.2999999999999998</v>
      </c>
      <c r="T15" s="16">
        <v>0.3</v>
      </c>
      <c r="U15" s="16">
        <v>0.6</v>
      </c>
      <c r="V15" s="16" t="s">
        <v>278</v>
      </c>
      <c r="W15" s="16" t="s">
        <v>279</v>
      </c>
      <c r="X15" s="16" t="b">
        <v>0</v>
      </c>
      <c r="Y15" s="16"/>
      <c r="Z15" s="16" t="b">
        <v>0</v>
      </c>
      <c r="AA15" s="16" t="b">
        <v>0</v>
      </c>
      <c r="AB15" s="16">
        <v>14.1</v>
      </c>
      <c r="AC15" s="16" t="s">
        <v>310</v>
      </c>
      <c r="AD15" s="16" t="s">
        <v>281</v>
      </c>
      <c r="AE15" s="16">
        <v>10.33</v>
      </c>
      <c r="AF15" s="16">
        <v>11.7</v>
      </c>
      <c r="AG15" s="16">
        <v>24.11</v>
      </c>
      <c r="AH15" s="16" t="s">
        <v>282</v>
      </c>
      <c r="AI15" s="16" t="s">
        <v>282</v>
      </c>
      <c r="AJ15" s="16" t="s">
        <v>283</v>
      </c>
      <c r="AK15" s="16">
        <v>0.4</v>
      </c>
      <c r="AL15" s="16">
        <v>-0.99347475543184316</v>
      </c>
      <c r="AM15" s="16">
        <v>23</v>
      </c>
      <c r="AN15" s="16">
        <v>3.7883597883597879</v>
      </c>
      <c r="AO15" s="16">
        <v>4.6675460489635832</v>
      </c>
      <c r="AP15" s="16">
        <v>44.32</v>
      </c>
      <c r="AQ15" s="16">
        <v>52.06</v>
      </c>
      <c r="AR15" s="16">
        <v>7.74</v>
      </c>
      <c r="AS15" s="16">
        <v>14.61</v>
      </c>
      <c r="AT15" s="16">
        <v>15.45</v>
      </c>
      <c r="AU15" s="16">
        <v>0.84</v>
      </c>
    </row>
    <row r="16" spans="1:47" x14ac:dyDescent="0.3">
      <c r="A16" s="16">
        <v>14</v>
      </c>
      <c r="B16" s="16">
        <v>21036</v>
      </c>
      <c r="C16" s="16" t="s">
        <v>311</v>
      </c>
      <c r="D16" s="16" t="s">
        <v>271</v>
      </c>
      <c r="E16" s="16" t="s">
        <v>272</v>
      </c>
      <c r="F16" s="16">
        <v>44.16</v>
      </c>
      <c r="G16" s="16">
        <v>8</v>
      </c>
      <c r="H16" s="16">
        <v>0</v>
      </c>
      <c r="I16" s="16">
        <v>34.46</v>
      </c>
      <c r="J16" s="16">
        <v>72.77</v>
      </c>
      <c r="K16" s="16" t="s">
        <v>273</v>
      </c>
      <c r="L16" s="16" t="s">
        <v>274</v>
      </c>
      <c r="M16" s="16">
        <v>47.62</v>
      </c>
      <c r="N16" s="16">
        <v>57.25</v>
      </c>
      <c r="O16" s="16" t="s">
        <v>274</v>
      </c>
      <c r="P16" s="16" t="s">
        <v>275</v>
      </c>
      <c r="Q16" s="16" t="s">
        <v>276</v>
      </c>
      <c r="R16" s="16" t="s">
        <v>277</v>
      </c>
      <c r="S16" s="16">
        <v>3.62</v>
      </c>
      <c r="T16" s="16">
        <v>0.3</v>
      </c>
      <c r="U16" s="16">
        <v>1.1000000000000001</v>
      </c>
      <c r="V16" s="16" t="s">
        <v>278</v>
      </c>
      <c r="W16" s="16" t="s">
        <v>279</v>
      </c>
      <c r="X16" s="16" t="b">
        <v>0</v>
      </c>
      <c r="Y16" s="16"/>
      <c r="Z16" s="16" t="b">
        <v>0</v>
      </c>
      <c r="AA16" s="16" t="b">
        <v>0</v>
      </c>
      <c r="AB16" s="16">
        <v>16</v>
      </c>
      <c r="AC16" s="16" t="s">
        <v>312</v>
      </c>
      <c r="AD16" s="16" t="s">
        <v>281</v>
      </c>
      <c r="AE16" s="16">
        <v>61.85</v>
      </c>
      <c r="AF16" s="16">
        <v>15</v>
      </c>
      <c r="AG16" s="16">
        <v>22.89</v>
      </c>
      <c r="AH16" s="16" t="s">
        <v>282</v>
      </c>
      <c r="AI16" s="16" t="s">
        <v>282</v>
      </c>
      <c r="AJ16" s="16" t="s">
        <v>283</v>
      </c>
      <c r="AK16" s="16">
        <v>0.55000000000000004</v>
      </c>
      <c r="AL16" s="16">
        <v>-1.390130218062553</v>
      </c>
      <c r="AM16" s="16">
        <v>42</v>
      </c>
      <c r="AN16" s="16">
        <v>3.174603174603174</v>
      </c>
      <c r="AO16" s="16">
        <v>4.4985367156151286</v>
      </c>
      <c r="AP16" s="16">
        <v>231.02</v>
      </c>
      <c r="AQ16" s="16">
        <v>300.35000000000002</v>
      </c>
      <c r="AR16" s="16">
        <v>69.33</v>
      </c>
      <c r="AS16" s="16">
        <v>73.709999999999994</v>
      </c>
      <c r="AT16" s="16">
        <v>79.45</v>
      </c>
      <c r="AU16" s="16">
        <v>5.74</v>
      </c>
    </row>
    <row r="17" spans="1:47" x14ac:dyDescent="0.3">
      <c r="A17" s="16">
        <v>14</v>
      </c>
      <c r="B17" s="16">
        <v>12416</v>
      </c>
      <c r="C17" s="16" t="s">
        <v>313</v>
      </c>
      <c r="D17" s="16" t="s">
        <v>271</v>
      </c>
      <c r="E17" s="16" t="s">
        <v>296</v>
      </c>
      <c r="F17" s="16">
        <v>70</v>
      </c>
      <c r="G17" s="16">
        <v>0</v>
      </c>
      <c r="H17" s="16">
        <v>0</v>
      </c>
      <c r="I17" s="16">
        <v>30.29</v>
      </c>
      <c r="J17" s="16">
        <v>100.42</v>
      </c>
      <c r="K17" s="16" t="s">
        <v>273</v>
      </c>
      <c r="L17" s="16" t="s">
        <v>274</v>
      </c>
      <c r="M17" s="16">
        <v>94.08</v>
      </c>
      <c r="N17" s="16">
        <v>102.2</v>
      </c>
      <c r="O17" s="16" t="s">
        <v>293</v>
      </c>
      <c r="P17" s="16" t="s">
        <v>275</v>
      </c>
      <c r="Q17" s="16" t="s">
        <v>276</v>
      </c>
      <c r="R17" s="16" t="s">
        <v>277</v>
      </c>
      <c r="S17" s="16">
        <v>0.77</v>
      </c>
      <c r="T17" s="16">
        <v>1.6</v>
      </c>
      <c r="U17" s="16">
        <v>1.2</v>
      </c>
      <c r="V17" s="16" t="s">
        <v>278</v>
      </c>
      <c r="W17" s="16" t="s">
        <v>279</v>
      </c>
      <c r="X17" s="16" t="b">
        <v>0</v>
      </c>
      <c r="Y17" s="16"/>
      <c r="Z17" s="16" t="b">
        <v>0</v>
      </c>
      <c r="AA17" s="16" t="b">
        <v>0</v>
      </c>
      <c r="AB17" s="16">
        <v>10.6</v>
      </c>
      <c r="AC17" s="16" t="s">
        <v>297</v>
      </c>
      <c r="AD17" s="16" t="s">
        <v>281</v>
      </c>
      <c r="AE17" s="16">
        <v>95.4</v>
      </c>
      <c r="AF17" s="16">
        <v>5</v>
      </c>
      <c r="AG17" s="16">
        <v>26.62</v>
      </c>
      <c r="AH17" s="16" t="s">
        <v>282</v>
      </c>
      <c r="AI17" s="16" t="s">
        <v>282</v>
      </c>
      <c r="AJ17" s="16" t="s">
        <v>283</v>
      </c>
      <c r="AK17" s="16">
        <v>0.55000000000000004</v>
      </c>
      <c r="AL17" s="16">
        <v>-1.327383484330162</v>
      </c>
      <c r="AM17" s="16">
        <v>13</v>
      </c>
      <c r="AN17" s="16">
        <v>0.61904761904761907</v>
      </c>
      <c r="AO17" s="16">
        <v>0.70121897760139107</v>
      </c>
      <c r="AP17" s="16">
        <v>62.16</v>
      </c>
      <c r="AQ17" s="16">
        <v>68.48</v>
      </c>
      <c r="AR17" s="16">
        <v>6.32</v>
      </c>
      <c r="AS17" s="16">
        <v>18.829999999999998</v>
      </c>
      <c r="AT17" s="16">
        <v>19.39</v>
      </c>
      <c r="AU17" s="16">
        <v>0.56000000000000005</v>
      </c>
    </row>
    <row r="18" spans="1:47" x14ac:dyDescent="0.3">
      <c r="A18" s="17">
        <v>9</v>
      </c>
      <c r="B18" s="17">
        <v>14058</v>
      </c>
      <c r="C18" s="17" t="s">
        <v>314</v>
      </c>
      <c r="D18" s="17" t="s">
        <v>315</v>
      </c>
      <c r="E18" s="17" t="s">
        <v>316</v>
      </c>
      <c r="F18" s="17">
        <v>37.72</v>
      </c>
      <c r="G18" s="17">
        <v>0</v>
      </c>
      <c r="H18" s="17">
        <v>0</v>
      </c>
      <c r="I18" s="17">
        <v>48.43</v>
      </c>
      <c r="J18" s="17">
        <v>73.14</v>
      </c>
      <c r="K18" s="17" t="s">
        <v>286</v>
      </c>
      <c r="L18" s="17" t="s">
        <v>274</v>
      </c>
      <c r="M18" s="17">
        <v>61.16</v>
      </c>
      <c r="N18" s="17">
        <v>68.42</v>
      </c>
      <c r="O18" s="17" t="s">
        <v>274</v>
      </c>
      <c r="P18" s="17" t="s">
        <v>301</v>
      </c>
      <c r="Q18" s="17" t="s">
        <v>276</v>
      </c>
      <c r="R18" s="17" t="s">
        <v>277</v>
      </c>
      <c r="S18" s="17">
        <v>1.49</v>
      </c>
      <c r="T18" s="17">
        <v>1.1000000000000001</v>
      </c>
      <c r="U18" s="17">
        <v>1.7</v>
      </c>
      <c r="V18" s="17" t="s">
        <v>278</v>
      </c>
      <c r="W18" s="17" t="s">
        <v>279</v>
      </c>
      <c r="X18" s="17" t="b">
        <v>0</v>
      </c>
      <c r="Y18" s="17"/>
      <c r="Z18" s="17" t="b">
        <v>1</v>
      </c>
      <c r="AA18" s="17" t="b">
        <v>0</v>
      </c>
      <c r="AB18" s="17">
        <v>33.9</v>
      </c>
      <c r="AC18" s="17" t="s">
        <v>305</v>
      </c>
      <c r="AD18" s="17" t="s">
        <v>317</v>
      </c>
      <c r="AE18" s="17">
        <v>60.95</v>
      </c>
      <c r="AF18" s="17">
        <v>16.7</v>
      </c>
      <c r="AG18" s="17">
        <v>38.11</v>
      </c>
      <c r="AH18" s="17" t="s">
        <v>282</v>
      </c>
      <c r="AI18" s="17" t="s">
        <v>282</v>
      </c>
      <c r="AJ18" s="17" t="s">
        <v>283</v>
      </c>
      <c r="AK18" s="17">
        <v>0.35</v>
      </c>
      <c r="AL18" s="17">
        <v>-0.51146755287290113</v>
      </c>
      <c r="AM18" s="17">
        <v>17</v>
      </c>
      <c r="AN18" s="17">
        <v>0.87301587301587302</v>
      </c>
      <c r="AO18" s="17">
        <v>1.0218854050322279</v>
      </c>
      <c r="AP18" s="17">
        <v>63.85</v>
      </c>
      <c r="AQ18" s="17">
        <v>70.38</v>
      </c>
      <c r="AR18" s="17">
        <v>6.53</v>
      </c>
      <c r="AS18" s="17">
        <v>30.92</v>
      </c>
      <c r="AT18" s="17">
        <v>31.84</v>
      </c>
      <c r="AU18" s="17">
        <v>0.92</v>
      </c>
    </row>
    <row r="19" spans="1:47" x14ac:dyDescent="0.3">
      <c r="A19" s="16">
        <v>9</v>
      </c>
      <c r="B19" s="16">
        <v>14057</v>
      </c>
      <c r="C19" s="16" t="s">
        <v>318</v>
      </c>
      <c r="D19" s="16" t="s">
        <v>315</v>
      </c>
      <c r="E19" s="16" t="s">
        <v>316</v>
      </c>
      <c r="F19" s="16">
        <v>13.06</v>
      </c>
      <c r="G19" s="16">
        <v>0</v>
      </c>
      <c r="H19" s="16">
        <v>0</v>
      </c>
      <c r="I19" s="16">
        <v>34.700000000000003</v>
      </c>
      <c r="J19" s="16">
        <v>20</v>
      </c>
      <c r="K19" s="16" t="s">
        <v>273</v>
      </c>
      <c r="L19" s="16" t="s">
        <v>293</v>
      </c>
      <c r="M19" s="16">
        <v>24.26</v>
      </c>
      <c r="N19" s="16">
        <v>26.84</v>
      </c>
      <c r="O19" s="16" t="s">
        <v>293</v>
      </c>
      <c r="P19" s="16" t="s">
        <v>301</v>
      </c>
      <c r="Q19" s="16" t="s">
        <v>287</v>
      </c>
      <c r="R19" s="16" t="s">
        <v>304</v>
      </c>
      <c r="S19" s="16">
        <v>1.73</v>
      </c>
      <c r="T19" s="16">
        <v>1</v>
      </c>
      <c r="U19" s="16">
        <v>1.7</v>
      </c>
      <c r="V19" s="16" t="s">
        <v>278</v>
      </c>
      <c r="W19" s="16" t="s">
        <v>279</v>
      </c>
      <c r="X19" s="16" t="b">
        <v>0</v>
      </c>
      <c r="Y19" s="16"/>
      <c r="Z19" s="16" t="b">
        <v>0</v>
      </c>
      <c r="AA19" s="16" t="b">
        <v>0</v>
      </c>
      <c r="AB19" s="16">
        <v>16.3</v>
      </c>
      <c r="AC19" s="16" t="s">
        <v>297</v>
      </c>
      <c r="AD19" s="16" t="s">
        <v>317</v>
      </c>
      <c r="AE19" s="16">
        <v>19</v>
      </c>
      <c r="AF19" s="16">
        <v>5</v>
      </c>
      <c r="AG19" s="16">
        <v>31.26</v>
      </c>
      <c r="AH19" s="16" t="s">
        <v>282</v>
      </c>
      <c r="AI19" s="16" t="s">
        <v>282</v>
      </c>
      <c r="AJ19" s="16" t="s">
        <v>283</v>
      </c>
      <c r="AK19" s="16">
        <v>0.55000000000000004</v>
      </c>
      <c r="AL19" s="16">
        <v>-1.555064781856337</v>
      </c>
      <c r="AM19" s="16">
        <v>16</v>
      </c>
      <c r="AN19" s="16">
        <v>1.015873015873016</v>
      </c>
      <c r="AO19" s="16">
        <v>1.173847850855247</v>
      </c>
      <c r="AP19" s="16">
        <v>20.32</v>
      </c>
      <c r="AQ19" s="16">
        <v>22.83</v>
      </c>
      <c r="AR19" s="16">
        <v>2.5099999999999998</v>
      </c>
      <c r="AS19" s="16">
        <v>7.05</v>
      </c>
      <c r="AT19" s="16">
        <v>7.5</v>
      </c>
      <c r="AU19" s="16">
        <v>0.45</v>
      </c>
    </row>
    <row r="20" spans="1:47" x14ac:dyDescent="0.3">
      <c r="A20" s="17">
        <v>14</v>
      </c>
      <c r="B20" s="17">
        <v>14058</v>
      </c>
      <c r="C20" s="17" t="s">
        <v>314</v>
      </c>
      <c r="D20" s="17" t="s">
        <v>315</v>
      </c>
      <c r="E20" s="17" t="s">
        <v>316</v>
      </c>
      <c r="F20" s="17">
        <v>37.72</v>
      </c>
      <c r="G20" s="17">
        <v>0</v>
      </c>
      <c r="H20" s="17">
        <v>0</v>
      </c>
      <c r="I20" s="17">
        <v>48.43</v>
      </c>
      <c r="J20" s="17">
        <v>73.14</v>
      </c>
      <c r="K20" s="17" t="s">
        <v>286</v>
      </c>
      <c r="L20" s="17" t="s">
        <v>274</v>
      </c>
      <c r="M20" s="17">
        <v>61.55</v>
      </c>
      <c r="N20" s="17">
        <v>67.680000000000007</v>
      </c>
      <c r="O20" s="17" t="s">
        <v>274</v>
      </c>
      <c r="P20" s="17" t="s">
        <v>301</v>
      </c>
      <c r="Q20" s="17" t="s">
        <v>276</v>
      </c>
      <c r="R20" s="17" t="s">
        <v>277</v>
      </c>
      <c r="S20" s="17">
        <v>2.48</v>
      </c>
      <c r="T20" s="17">
        <v>0.1</v>
      </c>
      <c r="U20" s="17">
        <v>0.3</v>
      </c>
      <c r="V20" s="17" t="s">
        <v>278</v>
      </c>
      <c r="W20" s="17" t="s">
        <v>279</v>
      </c>
      <c r="X20" s="17" t="b">
        <v>0</v>
      </c>
      <c r="Y20" s="17"/>
      <c r="Z20" s="17" t="b">
        <v>1</v>
      </c>
      <c r="AA20" s="17" t="b">
        <v>0</v>
      </c>
      <c r="AB20" s="17">
        <v>33.9</v>
      </c>
      <c r="AC20" s="17" t="s">
        <v>305</v>
      </c>
      <c r="AD20" s="17" t="s">
        <v>317</v>
      </c>
      <c r="AE20" s="17">
        <v>60.95</v>
      </c>
      <c r="AF20" s="17">
        <v>16.7</v>
      </c>
      <c r="AG20" s="17">
        <v>38.11</v>
      </c>
      <c r="AH20" s="17" t="s">
        <v>282</v>
      </c>
      <c r="AI20" s="17" t="s">
        <v>282</v>
      </c>
      <c r="AJ20" s="17" t="s">
        <v>283</v>
      </c>
      <c r="AK20" s="17">
        <v>0.35</v>
      </c>
      <c r="AL20" s="17">
        <v>-1.4498780990254729</v>
      </c>
      <c r="AM20" s="17">
        <v>48</v>
      </c>
      <c r="AN20" s="17">
        <v>7.5026455026455023</v>
      </c>
      <c r="AO20" s="17">
        <v>11.129344497084659</v>
      </c>
      <c r="AP20" s="17">
        <v>548.74</v>
      </c>
      <c r="AQ20" s="17">
        <v>766.51</v>
      </c>
      <c r="AR20" s="17">
        <v>217.77</v>
      </c>
      <c r="AS20" s="17">
        <v>265.76</v>
      </c>
      <c r="AT20" s="17">
        <v>346.73</v>
      </c>
      <c r="AU20" s="17">
        <v>80.97</v>
      </c>
    </row>
    <row r="21" spans="1:47" x14ac:dyDescent="0.3">
      <c r="A21" s="16">
        <v>14</v>
      </c>
      <c r="B21" s="16">
        <v>14639</v>
      </c>
      <c r="C21" s="16" t="s">
        <v>319</v>
      </c>
      <c r="D21" s="16" t="s">
        <v>315</v>
      </c>
      <c r="E21" s="16" t="s">
        <v>316</v>
      </c>
      <c r="F21" s="16">
        <v>5.75</v>
      </c>
      <c r="G21" s="16">
        <v>0</v>
      </c>
      <c r="H21" s="16">
        <v>0</v>
      </c>
      <c r="I21" s="16">
        <v>43.41</v>
      </c>
      <c r="J21" s="16">
        <v>10.16</v>
      </c>
      <c r="K21" s="16" t="s">
        <v>286</v>
      </c>
      <c r="L21" s="16" t="s">
        <v>293</v>
      </c>
      <c r="M21" s="16">
        <v>10.5</v>
      </c>
      <c r="N21" s="16">
        <v>10.5</v>
      </c>
      <c r="O21" s="16" t="s">
        <v>293</v>
      </c>
      <c r="P21" s="16" t="s">
        <v>301</v>
      </c>
      <c r="Q21" s="16" t="s">
        <v>287</v>
      </c>
      <c r="R21" s="16" t="s">
        <v>304</v>
      </c>
      <c r="S21" s="16">
        <v>0.47</v>
      </c>
      <c r="T21" s="16">
        <v>0.7</v>
      </c>
      <c r="U21" s="16">
        <v>0.3</v>
      </c>
      <c r="V21" s="16" t="s">
        <v>278</v>
      </c>
      <c r="W21" s="16" t="s">
        <v>279</v>
      </c>
      <c r="X21" s="16" t="b">
        <v>0</v>
      </c>
      <c r="Y21" s="16"/>
      <c r="Z21" s="16" t="b">
        <v>0</v>
      </c>
      <c r="AA21" s="16" t="b">
        <v>0</v>
      </c>
      <c r="AB21" s="16">
        <v>27.4</v>
      </c>
      <c r="AC21" s="16" t="s">
        <v>297</v>
      </c>
      <c r="AD21" s="16" t="s">
        <v>317</v>
      </c>
      <c r="AE21" s="16">
        <v>9.65</v>
      </c>
      <c r="AF21" s="16">
        <v>5</v>
      </c>
      <c r="AG21" s="16">
        <v>40.43</v>
      </c>
      <c r="AH21" s="16" t="s">
        <v>282</v>
      </c>
      <c r="AI21" s="16" t="s">
        <v>282</v>
      </c>
      <c r="AJ21" s="16" t="s">
        <v>283</v>
      </c>
      <c r="AK21" s="16">
        <v>0.55000000000000004</v>
      </c>
      <c r="AL21" s="16">
        <v>-2.9229567984500888</v>
      </c>
      <c r="AM21" s="16">
        <v>29</v>
      </c>
      <c r="AN21" s="16">
        <v>1.423280423280423</v>
      </c>
      <c r="AO21" s="16">
        <v>1.839299142213267</v>
      </c>
      <c r="AP21" s="16">
        <v>14.46</v>
      </c>
      <c r="AQ21" s="16">
        <v>18.170000000000002</v>
      </c>
      <c r="AR21" s="16">
        <v>3.71</v>
      </c>
      <c r="AS21" s="16">
        <v>6.28</v>
      </c>
      <c r="AT21" s="16">
        <v>7.6</v>
      </c>
      <c r="AU21" s="16">
        <v>1.32</v>
      </c>
    </row>
    <row r="22" spans="1:47" x14ac:dyDescent="0.3">
      <c r="A22" s="18">
        <v>9</v>
      </c>
      <c r="B22" s="18">
        <v>23550</v>
      </c>
      <c r="C22" s="18" t="s">
        <v>320</v>
      </c>
      <c r="D22" s="18" t="s">
        <v>271</v>
      </c>
      <c r="E22" s="18" t="s">
        <v>321</v>
      </c>
      <c r="F22" s="18">
        <v>26.5</v>
      </c>
      <c r="G22" s="18">
        <v>0</v>
      </c>
      <c r="H22" s="18">
        <v>0</v>
      </c>
      <c r="I22" s="18">
        <v>34.69</v>
      </c>
      <c r="J22" s="18">
        <v>40.58</v>
      </c>
      <c r="K22" s="18" t="s">
        <v>273</v>
      </c>
      <c r="L22" s="18" t="s">
        <v>274</v>
      </c>
      <c r="M22" s="18">
        <v>35.78</v>
      </c>
      <c r="N22" s="18">
        <v>40.659999999999997</v>
      </c>
      <c r="O22" s="18" t="s">
        <v>293</v>
      </c>
      <c r="P22" s="18" t="s">
        <v>275</v>
      </c>
      <c r="Q22" s="18" t="s">
        <v>287</v>
      </c>
      <c r="R22" s="18" t="s">
        <v>277</v>
      </c>
      <c r="S22" s="18">
        <v>1.39</v>
      </c>
      <c r="T22" s="18">
        <v>2.7</v>
      </c>
      <c r="U22" s="18">
        <v>3.8</v>
      </c>
      <c r="V22" s="18" t="s">
        <v>278</v>
      </c>
      <c r="W22" s="18" t="s">
        <v>279</v>
      </c>
      <c r="X22" s="18" t="b">
        <v>1</v>
      </c>
      <c r="Y22" s="18"/>
      <c r="Z22" s="18" t="b">
        <v>0</v>
      </c>
      <c r="AA22" s="18" t="b">
        <v>0</v>
      </c>
      <c r="AB22" s="18">
        <v>16.3</v>
      </c>
      <c r="AC22" s="18" t="s">
        <v>322</v>
      </c>
      <c r="AD22" s="18" t="s">
        <v>323</v>
      </c>
      <c r="AE22" s="18">
        <v>38.33</v>
      </c>
      <c r="AF22" s="18">
        <v>5.5</v>
      </c>
      <c r="AG22" s="18">
        <v>30.86</v>
      </c>
      <c r="AH22" s="18" t="s">
        <v>282</v>
      </c>
      <c r="AI22" s="18" t="s">
        <v>282</v>
      </c>
      <c r="AJ22" s="18" t="s">
        <v>283</v>
      </c>
      <c r="AK22" s="18">
        <v>0.4</v>
      </c>
      <c r="AL22" s="18">
        <v>-0.62082345550535445</v>
      </c>
      <c r="AM22" s="18">
        <v>7</v>
      </c>
      <c r="AN22" s="18">
        <v>0.36507936507936511</v>
      </c>
      <c r="AO22" s="18">
        <v>0.39019216657158479</v>
      </c>
      <c r="AP22" s="18">
        <v>14.81</v>
      </c>
      <c r="AQ22" s="18">
        <v>15.48</v>
      </c>
      <c r="AR22" s="18">
        <v>0.67</v>
      </c>
      <c r="AS22" s="18">
        <v>5.14</v>
      </c>
      <c r="AT22" s="18">
        <v>5.14</v>
      </c>
      <c r="AU22" s="18">
        <v>0</v>
      </c>
    </row>
    <row r="23" spans="1:47" x14ac:dyDescent="0.3">
      <c r="A23" s="18">
        <v>9</v>
      </c>
      <c r="B23" s="18">
        <v>27175</v>
      </c>
      <c r="C23" s="18" t="s">
        <v>324</v>
      </c>
      <c r="D23" s="18" t="s">
        <v>325</v>
      </c>
      <c r="E23" s="18" t="s">
        <v>326</v>
      </c>
      <c r="F23" s="18">
        <v>6.2</v>
      </c>
      <c r="G23" s="18">
        <v>8</v>
      </c>
      <c r="H23" s="18">
        <v>0</v>
      </c>
      <c r="I23" s="18">
        <v>30.54</v>
      </c>
      <c r="J23" s="18">
        <v>9.64</v>
      </c>
      <c r="K23" s="18" t="s">
        <v>273</v>
      </c>
      <c r="L23" s="18" t="s">
        <v>293</v>
      </c>
      <c r="M23" s="18">
        <v>69.900000000000006</v>
      </c>
      <c r="N23" s="18">
        <v>69.900000000000006</v>
      </c>
      <c r="O23" s="18" t="s">
        <v>293</v>
      </c>
      <c r="P23" s="18" t="s">
        <v>275</v>
      </c>
      <c r="Q23" s="18" t="s">
        <v>287</v>
      </c>
      <c r="R23" s="18" t="s">
        <v>277</v>
      </c>
      <c r="S23" s="18">
        <v>4.9400000000000004</v>
      </c>
      <c r="T23" s="18">
        <v>0.9</v>
      </c>
      <c r="U23" s="18">
        <v>4.2</v>
      </c>
      <c r="V23" s="18" t="s">
        <v>278</v>
      </c>
      <c r="W23" s="18" t="s">
        <v>279</v>
      </c>
      <c r="X23" s="18" t="b">
        <v>1</v>
      </c>
      <c r="Y23" s="18"/>
      <c r="Z23" s="18" t="b">
        <v>0</v>
      </c>
      <c r="AA23" s="18" t="b">
        <v>0</v>
      </c>
      <c r="AB23" s="18">
        <v>10.9</v>
      </c>
      <c r="AC23" s="18" t="s">
        <v>327</v>
      </c>
      <c r="AD23" s="18" t="s">
        <v>323</v>
      </c>
      <c r="AE23" s="18">
        <v>8.67</v>
      </c>
      <c r="AF23" s="18">
        <v>10.1</v>
      </c>
      <c r="AG23" s="18">
        <v>22.74</v>
      </c>
      <c r="AH23" s="18" t="s">
        <v>282</v>
      </c>
      <c r="AI23" s="18" t="s">
        <v>282</v>
      </c>
      <c r="AJ23" s="18" t="s">
        <v>283</v>
      </c>
      <c r="AK23" s="18">
        <v>0.4</v>
      </c>
      <c r="AL23" s="18">
        <v>-0.9198948705310821</v>
      </c>
      <c r="AM23" s="18">
        <v>19</v>
      </c>
      <c r="AN23" s="18">
        <v>1.164021164021164</v>
      </c>
      <c r="AO23" s="18">
        <v>1.3803181378116469</v>
      </c>
      <c r="AP23" s="18">
        <v>11.22</v>
      </c>
      <c r="AQ23" s="18">
        <v>12.77</v>
      </c>
      <c r="AR23" s="18">
        <v>1.55</v>
      </c>
      <c r="AS23" s="18">
        <v>3.17</v>
      </c>
      <c r="AT23" s="18">
        <v>3.26</v>
      </c>
      <c r="AU23" s="18">
        <v>0.09</v>
      </c>
    </row>
    <row r="24" spans="1:47" x14ac:dyDescent="0.3">
      <c r="A24" s="18">
        <v>9</v>
      </c>
      <c r="B24" s="18">
        <v>13277</v>
      </c>
      <c r="C24" s="18" t="s">
        <v>328</v>
      </c>
      <c r="D24" s="18" t="s">
        <v>325</v>
      </c>
      <c r="E24" s="18" t="s">
        <v>326</v>
      </c>
      <c r="F24" s="18">
        <v>14.65</v>
      </c>
      <c r="G24" s="18">
        <v>0</v>
      </c>
      <c r="H24" s="18">
        <v>0</v>
      </c>
      <c r="I24" s="18">
        <v>33.409999999999997</v>
      </c>
      <c r="J24" s="18">
        <v>22</v>
      </c>
      <c r="K24" s="18" t="s">
        <v>273</v>
      </c>
      <c r="L24" s="18" t="s">
        <v>293</v>
      </c>
      <c r="M24" s="18">
        <v>22.37</v>
      </c>
      <c r="N24" s="18">
        <v>23.62</v>
      </c>
      <c r="O24" s="18" t="s">
        <v>293</v>
      </c>
      <c r="P24" s="18" t="s">
        <v>275</v>
      </c>
      <c r="Q24" s="18" t="s">
        <v>287</v>
      </c>
      <c r="R24" s="18" t="s">
        <v>304</v>
      </c>
      <c r="S24" s="18">
        <v>2.83</v>
      </c>
      <c r="T24" s="18">
        <v>1.5</v>
      </c>
      <c r="U24" s="18">
        <v>4.2</v>
      </c>
      <c r="V24" s="18" t="s">
        <v>278</v>
      </c>
      <c r="W24" s="18" t="s">
        <v>279</v>
      </c>
      <c r="X24" s="18" t="b">
        <v>1</v>
      </c>
      <c r="Y24" s="18"/>
      <c r="Z24" s="18" t="b">
        <v>0</v>
      </c>
      <c r="AA24" s="18" t="b">
        <v>0</v>
      </c>
      <c r="AB24" s="18">
        <v>14.6</v>
      </c>
      <c r="AC24" s="18" t="s">
        <v>329</v>
      </c>
      <c r="AD24" s="18" t="s">
        <v>323</v>
      </c>
      <c r="AE24" s="18">
        <v>19.670000000000002</v>
      </c>
      <c r="AF24" s="18">
        <v>10.6</v>
      </c>
      <c r="AG24" s="18">
        <v>25.51</v>
      </c>
      <c r="AH24" s="18" t="s">
        <v>282</v>
      </c>
      <c r="AI24" s="18" t="s">
        <v>282</v>
      </c>
      <c r="AJ24" s="18" t="s">
        <v>283</v>
      </c>
      <c r="AK24" s="18">
        <v>0.4</v>
      </c>
      <c r="AL24" s="18">
        <v>-0.818665514992162</v>
      </c>
      <c r="AM24" s="18">
        <v>17</v>
      </c>
      <c r="AN24" s="18">
        <v>0.66666666666666663</v>
      </c>
      <c r="AO24" s="18">
        <v>0.78248054818755775</v>
      </c>
      <c r="AP24" s="18">
        <v>14.67</v>
      </c>
      <c r="AQ24" s="18">
        <v>16.48</v>
      </c>
      <c r="AR24" s="18">
        <v>1.81</v>
      </c>
      <c r="AS24" s="18">
        <v>4.9000000000000004</v>
      </c>
      <c r="AT24" s="18">
        <v>5.0199999999999996</v>
      </c>
      <c r="AU24" s="18">
        <v>0.12</v>
      </c>
    </row>
    <row r="25" spans="1:47" x14ac:dyDescent="0.3">
      <c r="A25" s="18">
        <v>14</v>
      </c>
      <c r="B25" s="18">
        <v>11490</v>
      </c>
      <c r="C25" s="18" t="s">
        <v>330</v>
      </c>
      <c r="D25" s="18" t="s">
        <v>325</v>
      </c>
      <c r="E25" s="18" t="s">
        <v>326</v>
      </c>
      <c r="F25" s="18">
        <v>89.58</v>
      </c>
      <c r="G25" s="18">
        <v>8</v>
      </c>
      <c r="H25" s="18">
        <v>0</v>
      </c>
      <c r="I25" s="18">
        <v>44.41</v>
      </c>
      <c r="J25" s="18">
        <v>174.03</v>
      </c>
      <c r="K25" s="18" t="s">
        <v>286</v>
      </c>
      <c r="L25" s="18" t="s">
        <v>274</v>
      </c>
      <c r="M25" s="18">
        <v>161</v>
      </c>
      <c r="N25" s="18">
        <v>161</v>
      </c>
      <c r="O25" s="18" t="s">
        <v>274</v>
      </c>
      <c r="P25" s="18" t="s">
        <v>275</v>
      </c>
      <c r="Q25" s="18" t="s">
        <v>276</v>
      </c>
      <c r="R25" s="18" t="s">
        <v>277</v>
      </c>
      <c r="S25" s="18">
        <v>1.61</v>
      </c>
      <c r="T25" s="18">
        <v>0.6</v>
      </c>
      <c r="U25" s="18">
        <v>1</v>
      </c>
      <c r="V25" s="18" t="s">
        <v>278</v>
      </c>
      <c r="W25" s="18" t="s">
        <v>279</v>
      </c>
      <c r="X25" s="18" t="b">
        <v>1</v>
      </c>
      <c r="Y25" s="18"/>
      <c r="Z25" s="18" t="b">
        <v>0</v>
      </c>
      <c r="AA25" s="18" t="b">
        <v>0</v>
      </c>
      <c r="AB25" s="18">
        <v>28.7</v>
      </c>
      <c r="AC25" s="18" t="s">
        <v>280</v>
      </c>
      <c r="AD25" s="18" t="s">
        <v>323</v>
      </c>
      <c r="AE25" s="18">
        <v>139.22</v>
      </c>
      <c r="AF25" s="18">
        <v>20</v>
      </c>
      <c r="AG25" s="18">
        <v>30.51</v>
      </c>
      <c r="AH25" s="18" t="s">
        <v>282</v>
      </c>
      <c r="AI25" s="18" t="s">
        <v>282</v>
      </c>
      <c r="AJ25" s="18" t="s">
        <v>298</v>
      </c>
      <c r="AK25" s="18">
        <v>0.35</v>
      </c>
      <c r="AL25" s="18">
        <v>-0.7547491466213776</v>
      </c>
      <c r="AM25" s="18">
        <v>30</v>
      </c>
      <c r="AN25" s="18">
        <v>1.693121693121693</v>
      </c>
      <c r="AO25" s="18">
        <v>2.2042745543255888</v>
      </c>
      <c r="AP25" s="18">
        <v>294.64999999999998</v>
      </c>
      <c r="AQ25" s="18">
        <v>356.76</v>
      </c>
      <c r="AR25" s="18">
        <v>62.11</v>
      </c>
      <c r="AS25" s="18">
        <v>121.16</v>
      </c>
      <c r="AT25" s="18">
        <v>132.88</v>
      </c>
      <c r="AU25" s="18">
        <v>11.72</v>
      </c>
    </row>
    <row r="26" spans="1:47" x14ac:dyDescent="0.3">
      <c r="A26" s="18">
        <v>14</v>
      </c>
      <c r="B26" s="18">
        <v>10055</v>
      </c>
      <c r="C26" s="18" t="s">
        <v>331</v>
      </c>
      <c r="D26" s="18" t="s">
        <v>315</v>
      </c>
      <c r="E26" s="18" t="s">
        <v>332</v>
      </c>
      <c r="F26" s="18">
        <v>32.89</v>
      </c>
      <c r="G26" s="18">
        <v>0</v>
      </c>
      <c r="H26" s="18">
        <v>16</v>
      </c>
      <c r="I26" s="18">
        <v>38.75</v>
      </c>
      <c r="J26" s="18">
        <v>62.29</v>
      </c>
      <c r="K26" s="18" t="s">
        <v>273</v>
      </c>
      <c r="L26" s="18" t="s">
        <v>274</v>
      </c>
      <c r="M26" s="18">
        <v>56.96</v>
      </c>
      <c r="N26" s="18">
        <v>59.48</v>
      </c>
      <c r="O26" s="18" t="s">
        <v>290</v>
      </c>
      <c r="P26" s="18" t="s">
        <v>301</v>
      </c>
      <c r="Q26" s="18" t="s">
        <v>276</v>
      </c>
      <c r="R26" s="18" t="s">
        <v>288</v>
      </c>
      <c r="S26" s="18">
        <v>0.86</v>
      </c>
      <c r="T26" s="18">
        <v>0.5</v>
      </c>
      <c r="U26" s="18">
        <v>0.4</v>
      </c>
      <c r="V26" s="18" t="s">
        <v>278</v>
      </c>
      <c r="W26" s="18" t="s">
        <v>279</v>
      </c>
      <c r="X26" s="18" t="b">
        <v>1</v>
      </c>
      <c r="Y26" s="18"/>
      <c r="Z26" s="18" t="b">
        <v>0</v>
      </c>
      <c r="AA26" s="18" t="b">
        <v>0</v>
      </c>
      <c r="AB26" s="18">
        <v>21.5</v>
      </c>
      <c r="AC26" s="18" t="s">
        <v>280</v>
      </c>
      <c r="AD26" s="18" t="s">
        <v>323</v>
      </c>
      <c r="AE26" s="18">
        <v>49.83</v>
      </c>
      <c r="AF26" s="18">
        <v>20</v>
      </c>
      <c r="AG26" s="18">
        <v>23.44</v>
      </c>
      <c r="AH26" s="18" t="s">
        <v>282</v>
      </c>
      <c r="AI26" s="18" t="s">
        <v>282</v>
      </c>
      <c r="AJ26" s="18" t="s">
        <v>283</v>
      </c>
      <c r="AK26" s="18">
        <v>0.35</v>
      </c>
      <c r="AL26" s="18">
        <v>-5.7752179147540632</v>
      </c>
      <c r="AM26" s="18">
        <v>231</v>
      </c>
      <c r="AN26" s="18">
        <v>1.9153439153439149</v>
      </c>
      <c r="AO26" s="18">
        <v>6.339955312467664</v>
      </c>
      <c r="AP26" s="18">
        <v>119.31</v>
      </c>
      <c r="AQ26" s="18">
        <v>367.27</v>
      </c>
      <c r="AR26" s="18">
        <v>247.96</v>
      </c>
      <c r="AS26" s="18">
        <v>39.85</v>
      </c>
      <c r="AT26" s="18">
        <v>108.09</v>
      </c>
      <c r="AU26" s="18">
        <v>68.239999999999995</v>
      </c>
    </row>
    <row r="27" spans="1:47" x14ac:dyDescent="0.3">
      <c r="A27" s="18">
        <v>14</v>
      </c>
      <c r="B27" s="18">
        <v>25110</v>
      </c>
      <c r="C27" s="18" t="s">
        <v>333</v>
      </c>
      <c r="D27" s="18" t="s">
        <v>325</v>
      </c>
      <c r="E27" s="18" t="s">
        <v>326</v>
      </c>
      <c r="F27" s="18">
        <v>24.31</v>
      </c>
      <c r="G27" s="18">
        <v>8</v>
      </c>
      <c r="H27" s="18">
        <v>0</v>
      </c>
      <c r="I27" s="18">
        <v>30.07</v>
      </c>
      <c r="J27" s="18">
        <v>37.54</v>
      </c>
      <c r="K27" s="18" t="s">
        <v>273</v>
      </c>
      <c r="L27" s="18" t="s">
        <v>293</v>
      </c>
      <c r="M27" s="18">
        <v>40</v>
      </c>
      <c r="N27" s="18">
        <v>40</v>
      </c>
      <c r="O27" s="18" t="s">
        <v>293</v>
      </c>
      <c r="P27" s="18" t="s">
        <v>275</v>
      </c>
      <c r="Q27" s="18" t="s">
        <v>276</v>
      </c>
      <c r="R27" s="18" t="s">
        <v>277</v>
      </c>
      <c r="S27" s="18">
        <v>1.55</v>
      </c>
      <c r="T27" s="18">
        <v>0.6</v>
      </c>
      <c r="U27" s="18">
        <v>1</v>
      </c>
      <c r="V27" s="18" t="s">
        <v>278</v>
      </c>
      <c r="W27" s="18" t="s">
        <v>279</v>
      </c>
      <c r="X27" s="18" t="b">
        <v>1</v>
      </c>
      <c r="Y27" s="18"/>
      <c r="Z27" s="18" t="b">
        <v>0</v>
      </c>
      <c r="AA27" s="18" t="b">
        <v>0</v>
      </c>
      <c r="AB27" s="18">
        <v>10.3</v>
      </c>
      <c r="AC27" s="18" t="s">
        <v>334</v>
      </c>
      <c r="AD27" s="18" t="s">
        <v>323</v>
      </c>
      <c r="AE27" s="18">
        <v>33.67</v>
      </c>
      <c r="AF27" s="18">
        <v>10.3</v>
      </c>
      <c r="AG27" s="18">
        <v>22.02</v>
      </c>
      <c r="AH27" s="18" t="s">
        <v>282</v>
      </c>
      <c r="AI27" s="18" t="s">
        <v>282</v>
      </c>
      <c r="AJ27" s="18" t="s">
        <v>283</v>
      </c>
      <c r="AK27" s="18">
        <v>0.4</v>
      </c>
      <c r="AL27" s="18">
        <v>-0.92710122129518135</v>
      </c>
      <c r="AM27" s="18">
        <v>19</v>
      </c>
      <c r="AN27" s="18">
        <v>1.62962962962963</v>
      </c>
      <c r="AO27" s="18">
        <v>1.9414652759746041</v>
      </c>
      <c r="AP27" s="18">
        <v>61.18</v>
      </c>
      <c r="AQ27" s="18">
        <v>69.87</v>
      </c>
      <c r="AR27" s="18">
        <v>8.69</v>
      </c>
      <c r="AS27" s="18">
        <v>17.03</v>
      </c>
      <c r="AT27" s="18">
        <v>17.510000000000002</v>
      </c>
      <c r="AU27" s="18">
        <v>0.48</v>
      </c>
    </row>
    <row r="28" spans="1:47" x14ac:dyDescent="0.3">
      <c r="A28" s="18">
        <v>14</v>
      </c>
      <c r="B28" s="18">
        <v>23550</v>
      </c>
      <c r="C28" s="18" t="s">
        <v>320</v>
      </c>
      <c r="D28" s="18" t="s">
        <v>271</v>
      </c>
      <c r="E28" s="18" t="s">
        <v>321</v>
      </c>
      <c r="F28" s="18">
        <v>26.5</v>
      </c>
      <c r="G28" s="18">
        <v>0</v>
      </c>
      <c r="H28" s="18">
        <v>0</v>
      </c>
      <c r="I28" s="18">
        <v>34.69</v>
      </c>
      <c r="J28" s="18">
        <v>40.58</v>
      </c>
      <c r="K28" s="18" t="s">
        <v>273</v>
      </c>
      <c r="L28" s="18" t="s">
        <v>274</v>
      </c>
      <c r="M28" s="18">
        <v>33.39</v>
      </c>
      <c r="N28" s="18">
        <v>40.17</v>
      </c>
      <c r="O28" s="18" t="s">
        <v>290</v>
      </c>
      <c r="P28" s="18" t="s">
        <v>275</v>
      </c>
      <c r="Q28" s="18" t="s">
        <v>276</v>
      </c>
      <c r="R28" s="18" t="s">
        <v>277</v>
      </c>
      <c r="S28" s="18">
        <v>1.72</v>
      </c>
      <c r="T28" s="18">
        <v>0.6</v>
      </c>
      <c r="U28" s="18">
        <v>1.1000000000000001</v>
      </c>
      <c r="V28" s="18" t="s">
        <v>278</v>
      </c>
      <c r="W28" s="18" t="s">
        <v>279</v>
      </c>
      <c r="X28" s="18" t="b">
        <v>1</v>
      </c>
      <c r="Y28" s="18"/>
      <c r="Z28" s="18" t="b">
        <v>0</v>
      </c>
      <c r="AA28" s="18" t="b">
        <v>0</v>
      </c>
      <c r="AB28" s="18">
        <v>16.3</v>
      </c>
      <c r="AC28" s="18" t="s">
        <v>335</v>
      </c>
      <c r="AD28" s="18" t="s">
        <v>323</v>
      </c>
      <c r="AE28" s="18">
        <v>34.33</v>
      </c>
      <c r="AF28" s="18">
        <v>15.4</v>
      </c>
      <c r="AG28" s="18">
        <v>22.81</v>
      </c>
      <c r="AH28" s="18" t="s">
        <v>282</v>
      </c>
      <c r="AI28" s="18" t="s">
        <v>282</v>
      </c>
      <c r="AJ28" s="18" t="s">
        <v>283</v>
      </c>
      <c r="AK28" s="18">
        <v>0.4</v>
      </c>
      <c r="AL28" s="18">
        <v>-0.82959260997011097</v>
      </c>
      <c r="AM28" s="18">
        <v>26</v>
      </c>
      <c r="AN28" s="18">
        <v>1.6349206349206351</v>
      </c>
      <c r="AO28" s="18">
        <v>2.0523953389035938</v>
      </c>
      <c r="AP28" s="18">
        <v>66.349999999999994</v>
      </c>
      <c r="AQ28" s="18">
        <v>78.16</v>
      </c>
      <c r="AR28" s="18">
        <v>11.81</v>
      </c>
      <c r="AS28" s="18">
        <v>23.02</v>
      </c>
      <c r="AT28" s="18">
        <v>23.76</v>
      </c>
      <c r="AU28" s="18">
        <v>0.74</v>
      </c>
    </row>
    <row r="29" spans="1:47" x14ac:dyDescent="0.3">
      <c r="A29" s="18">
        <v>14</v>
      </c>
      <c r="B29" s="18">
        <v>27175</v>
      </c>
      <c r="C29" s="18" t="s">
        <v>324</v>
      </c>
      <c r="D29" s="18" t="s">
        <v>325</v>
      </c>
      <c r="E29" s="18" t="s">
        <v>326</v>
      </c>
      <c r="F29" s="18">
        <v>6.2</v>
      </c>
      <c r="G29" s="18">
        <v>8</v>
      </c>
      <c r="H29" s="18">
        <v>0</v>
      </c>
      <c r="I29" s="18">
        <v>30.54</v>
      </c>
      <c r="J29" s="18">
        <v>9.64</v>
      </c>
      <c r="K29" s="18" t="s">
        <v>273</v>
      </c>
      <c r="L29" s="18" t="s">
        <v>293</v>
      </c>
      <c r="M29" s="18">
        <v>69.900000000000006</v>
      </c>
      <c r="N29" s="18">
        <v>69.900000000000006</v>
      </c>
      <c r="O29" s="18" t="s">
        <v>293</v>
      </c>
      <c r="P29" s="18" t="s">
        <v>275</v>
      </c>
      <c r="Q29" s="18" t="s">
        <v>276</v>
      </c>
      <c r="R29" s="18" t="s">
        <v>277</v>
      </c>
      <c r="S29" s="18">
        <v>3.47</v>
      </c>
      <c r="T29" s="18">
        <v>0.3</v>
      </c>
      <c r="U29" s="18">
        <v>1</v>
      </c>
      <c r="V29" s="18" t="s">
        <v>278</v>
      </c>
      <c r="W29" s="18" t="s">
        <v>279</v>
      </c>
      <c r="X29" s="18" t="b">
        <v>1</v>
      </c>
      <c r="Y29" s="18"/>
      <c r="Z29" s="18" t="b">
        <v>0</v>
      </c>
      <c r="AA29" s="18" t="b">
        <v>0</v>
      </c>
      <c r="AB29" s="18">
        <v>10.9</v>
      </c>
      <c r="AC29" s="18" t="s">
        <v>327</v>
      </c>
      <c r="AD29" s="18" t="s">
        <v>323</v>
      </c>
      <c r="AE29" s="18">
        <v>8.67</v>
      </c>
      <c r="AF29" s="18">
        <v>10.1</v>
      </c>
      <c r="AG29" s="18">
        <v>22.74</v>
      </c>
      <c r="AH29" s="18" t="s">
        <v>282</v>
      </c>
      <c r="AI29" s="18" t="s">
        <v>282</v>
      </c>
      <c r="AJ29" s="18" t="s">
        <v>283</v>
      </c>
      <c r="AK29" s="18">
        <v>0.4</v>
      </c>
      <c r="AL29" s="18">
        <v>-0.78789281576100478</v>
      </c>
      <c r="AM29" s="18">
        <v>16</v>
      </c>
      <c r="AN29" s="18">
        <v>3.645502645502646</v>
      </c>
      <c r="AO29" s="18">
        <v>4.2257002450369594</v>
      </c>
      <c r="AP29" s="18">
        <v>35.14</v>
      </c>
      <c r="AQ29" s="18">
        <v>39.090000000000003</v>
      </c>
      <c r="AR29" s="18">
        <v>3.95</v>
      </c>
      <c r="AS29" s="18">
        <v>9.94</v>
      </c>
      <c r="AT29" s="18">
        <v>10</v>
      </c>
      <c r="AU29" s="18">
        <v>0.06</v>
      </c>
    </row>
    <row r="30" spans="1:47" x14ac:dyDescent="0.3">
      <c r="A30" s="18">
        <v>14</v>
      </c>
      <c r="B30" s="18">
        <v>13277</v>
      </c>
      <c r="C30" s="18" t="s">
        <v>328</v>
      </c>
      <c r="D30" s="18" t="s">
        <v>325</v>
      </c>
      <c r="E30" s="18" t="s">
        <v>326</v>
      </c>
      <c r="F30" s="18">
        <v>14.65</v>
      </c>
      <c r="G30" s="18">
        <v>0</v>
      </c>
      <c r="H30" s="18">
        <v>0</v>
      </c>
      <c r="I30" s="18">
        <v>33.409999999999997</v>
      </c>
      <c r="J30" s="18">
        <v>22</v>
      </c>
      <c r="K30" s="18" t="s">
        <v>273</v>
      </c>
      <c r="L30" s="18" t="s">
        <v>293</v>
      </c>
      <c r="M30" s="18">
        <v>23.14</v>
      </c>
      <c r="N30" s="18">
        <v>23.54</v>
      </c>
      <c r="O30" s="18" t="s">
        <v>293</v>
      </c>
      <c r="P30" s="18" t="s">
        <v>275</v>
      </c>
      <c r="Q30" s="18" t="s">
        <v>276</v>
      </c>
      <c r="R30" s="18" t="s">
        <v>304</v>
      </c>
      <c r="S30" s="18">
        <v>1.86</v>
      </c>
      <c r="T30" s="18">
        <v>0.5</v>
      </c>
      <c r="U30" s="18">
        <v>1</v>
      </c>
      <c r="V30" s="18" t="s">
        <v>278</v>
      </c>
      <c r="W30" s="18" t="s">
        <v>279</v>
      </c>
      <c r="X30" s="18" t="b">
        <v>1</v>
      </c>
      <c r="Y30" s="18"/>
      <c r="Z30" s="18" t="b">
        <v>0</v>
      </c>
      <c r="AA30" s="18" t="b">
        <v>0</v>
      </c>
      <c r="AB30" s="18">
        <v>14.6</v>
      </c>
      <c r="AC30" s="18" t="s">
        <v>329</v>
      </c>
      <c r="AD30" s="18" t="s">
        <v>323</v>
      </c>
      <c r="AE30" s="18">
        <v>19.670000000000002</v>
      </c>
      <c r="AF30" s="18">
        <v>10.6</v>
      </c>
      <c r="AG30" s="18">
        <v>25.51</v>
      </c>
      <c r="AH30" s="18" t="s">
        <v>282</v>
      </c>
      <c r="AI30" s="18" t="s">
        <v>282</v>
      </c>
      <c r="AJ30" s="18" t="s">
        <v>283</v>
      </c>
      <c r="AK30" s="18">
        <v>0.4</v>
      </c>
      <c r="AL30" s="18">
        <v>-1.5810570414168019</v>
      </c>
      <c r="AM30" s="18">
        <v>34</v>
      </c>
      <c r="AN30" s="18">
        <v>1.9523809523809521</v>
      </c>
      <c r="AO30" s="18">
        <v>2.607405355796879</v>
      </c>
      <c r="AP30" s="18">
        <v>42.95</v>
      </c>
      <c r="AQ30" s="18">
        <v>54.93</v>
      </c>
      <c r="AR30" s="18">
        <v>11.98</v>
      </c>
      <c r="AS30" s="18">
        <v>14.35</v>
      </c>
      <c r="AT30" s="18">
        <v>16.73</v>
      </c>
      <c r="AU30" s="18">
        <v>2.38</v>
      </c>
    </row>
    <row r="31" spans="1:47" x14ac:dyDescent="0.3">
      <c r="A31" s="18">
        <v>14</v>
      </c>
      <c r="B31" s="18">
        <v>18595</v>
      </c>
      <c r="C31" s="18" t="s">
        <v>336</v>
      </c>
      <c r="D31" s="18" t="s">
        <v>271</v>
      </c>
      <c r="E31" s="18" t="s">
        <v>321</v>
      </c>
      <c r="F31" s="18">
        <v>50.05</v>
      </c>
      <c r="G31" s="18">
        <v>0</v>
      </c>
      <c r="H31" s="18">
        <v>0</v>
      </c>
      <c r="I31" s="18">
        <v>30.77</v>
      </c>
      <c r="J31" s="18">
        <v>72.3</v>
      </c>
      <c r="K31" s="18" t="s">
        <v>273</v>
      </c>
      <c r="L31" s="18" t="s">
        <v>293</v>
      </c>
      <c r="M31" s="18">
        <v>74.989999999999995</v>
      </c>
      <c r="N31" s="18">
        <v>81.14</v>
      </c>
      <c r="O31" s="18" t="s">
        <v>293</v>
      </c>
      <c r="P31" s="18" t="s">
        <v>275</v>
      </c>
      <c r="Q31" s="18" t="s">
        <v>276</v>
      </c>
      <c r="R31" s="18" t="s">
        <v>304</v>
      </c>
      <c r="S31" s="18">
        <v>2.82</v>
      </c>
      <c r="T31" s="18">
        <v>0.4</v>
      </c>
      <c r="U31" s="18">
        <v>1.1000000000000001</v>
      </c>
      <c r="V31" s="18" t="s">
        <v>278</v>
      </c>
      <c r="W31" s="18" t="s">
        <v>279</v>
      </c>
      <c r="X31" s="18" t="b">
        <v>1</v>
      </c>
      <c r="Y31" s="18"/>
      <c r="Z31" s="18" t="b">
        <v>0</v>
      </c>
      <c r="AA31" s="18" t="b">
        <v>0</v>
      </c>
      <c r="AB31" s="18">
        <v>11.2</v>
      </c>
      <c r="AC31" s="18" t="s">
        <v>337</v>
      </c>
      <c r="AD31" s="18" t="s">
        <v>323</v>
      </c>
      <c r="AE31" s="18">
        <v>65.069999999999993</v>
      </c>
      <c r="AF31" s="18">
        <v>10</v>
      </c>
      <c r="AG31" s="18">
        <v>23.08</v>
      </c>
      <c r="AH31" s="18" t="s">
        <v>282</v>
      </c>
      <c r="AI31" s="18" t="s">
        <v>282</v>
      </c>
      <c r="AJ31" s="18" t="s">
        <v>283</v>
      </c>
      <c r="AK31" s="18">
        <v>0.55000000000000004</v>
      </c>
      <c r="AL31" s="18">
        <v>-1.455657985834456</v>
      </c>
      <c r="AM31" s="18">
        <v>29</v>
      </c>
      <c r="AN31" s="18">
        <v>2.6825396825396819</v>
      </c>
      <c r="AO31" s="18">
        <v>3.4635117447810249</v>
      </c>
      <c r="AP31" s="18">
        <v>193.95</v>
      </c>
      <c r="AQ31" s="18">
        <v>236.64</v>
      </c>
      <c r="AR31" s="18">
        <v>42.69</v>
      </c>
      <c r="AS31" s="18">
        <v>59.68</v>
      </c>
      <c r="AT31" s="18">
        <v>63.28</v>
      </c>
      <c r="AU31" s="18">
        <v>3.6</v>
      </c>
    </row>
    <row r="32" spans="1:47" x14ac:dyDescent="0.3">
      <c r="A32" s="16">
        <v>9</v>
      </c>
      <c r="B32" s="16">
        <v>24054</v>
      </c>
      <c r="C32" s="16" t="s">
        <v>338</v>
      </c>
      <c r="D32" s="16" t="s">
        <v>308</v>
      </c>
      <c r="E32" s="16" t="s">
        <v>339</v>
      </c>
      <c r="F32" s="16">
        <v>11</v>
      </c>
      <c r="G32" s="16">
        <v>0</v>
      </c>
      <c r="H32" s="16">
        <v>16</v>
      </c>
      <c r="I32" s="16">
        <v>38.729999999999997</v>
      </c>
      <c r="J32" s="16">
        <v>20.82</v>
      </c>
      <c r="K32" s="16" t="s">
        <v>273</v>
      </c>
      <c r="L32" s="16" t="s">
        <v>293</v>
      </c>
      <c r="M32" s="16">
        <v>23</v>
      </c>
      <c r="N32" s="16">
        <v>23</v>
      </c>
      <c r="O32" s="16" t="s">
        <v>293</v>
      </c>
      <c r="P32" s="16" t="s">
        <v>275</v>
      </c>
      <c r="Q32" s="16" t="s">
        <v>287</v>
      </c>
      <c r="R32" s="16" t="s">
        <v>304</v>
      </c>
      <c r="S32" s="16">
        <v>2.69</v>
      </c>
      <c r="T32" s="16">
        <v>5</v>
      </c>
      <c r="U32" s="16">
        <v>13.4</v>
      </c>
      <c r="V32" s="16" t="s">
        <v>278</v>
      </c>
      <c r="W32" s="16" t="s">
        <v>279</v>
      </c>
      <c r="X32" s="16" t="b">
        <v>0</v>
      </c>
      <c r="Y32" s="16"/>
      <c r="Z32" s="16" t="b">
        <v>0</v>
      </c>
      <c r="AA32" s="16" t="b">
        <v>0</v>
      </c>
      <c r="AB32" s="16">
        <v>21.4</v>
      </c>
      <c r="AC32" s="16" t="s">
        <v>280</v>
      </c>
      <c r="AD32" s="16" t="s">
        <v>340</v>
      </c>
      <c r="AE32" s="16">
        <v>16.66</v>
      </c>
      <c r="AF32" s="16">
        <v>20</v>
      </c>
      <c r="AG32" s="16">
        <v>23.41</v>
      </c>
      <c r="AH32" s="16" t="s">
        <v>282</v>
      </c>
      <c r="AI32" s="16" t="s">
        <v>282</v>
      </c>
      <c r="AJ32" s="16" t="s">
        <v>283</v>
      </c>
      <c r="AK32" s="16">
        <v>0.35</v>
      </c>
      <c r="AL32" s="16">
        <v>-1.512439135451781</v>
      </c>
      <c r="AM32" s="16">
        <v>60</v>
      </c>
      <c r="AN32" s="16">
        <v>0.20105820105820099</v>
      </c>
      <c r="AO32" s="16">
        <v>0.3226935177717834</v>
      </c>
      <c r="AP32" s="16">
        <v>4.1900000000000004</v>
      </c>
      <c r="AQ32" s="16">
        <v>6.25</v>
      </c>
      <c r="AR32" s="16">
        <v>2.06</v>
      </c>
      <c r="AS32" s="16">
        <v>1.4</v>
      </c>
      <c r="AT32" s="16">
        <v>1.84</v>
      </c>
      <c r="AU32" s="16">
        <v>0.44</v>
      </c>
    </row>
    <row r="33" spans="1:47" x14ac:dyDescent="0.3">
      <c r="A33" s="16">
        <v>9</v>
      </c>
      <c r="B33" s="16">
        <v>14406</v>
      </c>
      <c r="C33" s="16" t="s">
        <v>341</v>
      </c>
      <c r="D33" s="16" t="s">
        <v>308</v>
      </c>
      <c r="E33" s="16" t="s">
        <v>339</v>
      </c>
      <c r="F33" s="16">
        <v>43.81</v>
      </c>
      <c r="G33" s="16">
        <v>0</v>
      </c>
      <c r="H33" s="16">
        <v>16</v>
      </c>
      <c r="I33" s="16">
        <v>44.1</v>
      </c>
      <c r="J33" s="16">
        <v>90.91</v>
      </c>
      <c r="K33" s="16" t="s">
        <v>286</v>
      </c>
      <c r="L33" s="16" t="s">
        <v>274</v>
      </c>
      <c r="M33" s="16">
        <v>60.95</v>
      </c>
      <c r="N33" s="16">
        <v>90.38</v>
      </c>
      <c r="O33" s="16" t="s">
        <v>290</v>
      </c>
      <c r="P33" s="16" t="s">
        <v>275</v>
      </c>
      <c r="Q33" s="16" t="s">
        <v>287</v>
      </c>
      <c r="R33" s="16" t="s">
        <v>304</v>
      </c>
      <c r="S33" s="16">
        <v>0.64</v>
      </c>
      <c r="T33" s="16">
        <v>21</v>
      </c>
      <c r="U33" s="16">
        <v>13.4</v>
      </c>
      <c r="V33" s="16" t="s">
        <v>278</v>
      </c>
      <c r="W33" s="16" t="s">
        <v>279</v>
      </c>
      <c r="X33" s="16" t="b">
        <v>0</v>
      </c>
      <c r="Y33" s="16"/>
      <c r="Z33" s="16" t="b">
        <v>0</v>
      </c>
      <c r="AA33" s="16" t="b">
        <v>0</v>
      </c>
      <c r="AB33" s="16">
        <v>28.3</v>
      </c>
      <c r="AC33" s="16" t="s">
        <v>280</v>
      </c>
      <c r="AD33" s="16" t="s">
        <v>340</v>
      </c>
      <c r="AE33" s="16">
        <v>72.73</v>
      </c>
      <c r="AF33" s="16">
        <v>20</v>
      </c>
      <c r="AG33" s="16">
        <v>30.13</v>
      </c>
      <c r="AH33" s="16" t="s">
        <v>282</v>
      </c>
      <c r="AI33" s="16" t="s">
        <v>282</v>
      </c>
      <c r="AJ33" s="16" t="s">
        <v>283</v>
      </c>
      <c r="AK33" s="16">
        <v>0.35</v>
      </c>
      <c r="AL33" s="16">
        <v>-1.1367633780796531</v>
      </c>
      <c r="AM33" s="16">
        <v>45</v>
      </c>
      <c r="AN33" s="16">
        <v>4.7619047619047623E-2</v>
      </c>
      <c r="AO33" s="16">
        <v>6.9271683391993397E-2</v>
      </c>
      <c r="AP33" s="16">
        <v>4.33</v>
      </c>
      <c r="AQ33" s="16">
        <v>5.86</v>
      </c>
      <c r="AR33" s="16">
        <v>1.53</v>
      </c>
      <c r="AS33" s="16">
        <v>1.65</v>
      </c>
      <c r="AT33" s="16">
        <v>2.0099999999999998</v>
      </c>
      <c r="AU33" s="16">
        <v>0.36</v>
      </c>
    </row>
    <row r="34" spans="1:47" x14ac:dyDescent="0.3">
      <c r="A34" s="16">
        <v>9</v>
      </c>
      <c r="B34" s="16">
        <v>29003</v>
      </c>
      <c r="C34" s="16" t="s">
        <v>342</v>
      </c>
      <c r="D34" s="16" t="s">
        <v>308</v>
      </c>
      <c r="E34" s="16" t="s">
        <v>309</v>
      </c>
      <c r="F34" s="16">
        <v>82.27</v>
      </c>
      <c r="G34" s="16">
        <v>0</v>
      </c>
      <c r="H34" s="16">
        <v>16</v>
      </c>
      <c r="I34" s="16">
        <v>35.04</v>
      </c>
      <c r="J34" s="16">
        <v>146.91</v>
      </c>
      <c r="K34" s="16" t="s">
        <v>273</v>
      </c>
      <c r="L34" s="16" t="s">
        <v>274</v>
      </c>
      <c r="M34" s="16">
        <v>135.94999999999999</v>
      </c>
      <c r="N34" s="16">
        <v>152.81</v>
      </c>
      <c r="O34" s="16" t="s">
        <v>293</v>
      </c>
      <c r="P34" s="16" t="s">
        <v>275</v>
      </c>
      <c r="Q34" s="16" t="s">
        <v>287</v>
      </c>
      <c r="R34" s="16" t="s">
        <v>288</v>
      </c>
      <c r="S34" s="16">
        <v>1</v>
      </c>
      <c r="T34" s="16">
        <v>23.6</v>
      </c>
      <c r="U34" s="16">
        <v>23.7</v>
      </c>
      <c r="V34" s="16" t="s">
        <v>278</v>
      </c>
      <c r="W34" s="16" t="s">
        <v>279</v>
      </c>
      <c r="X34" s="16" t="b">
        <v>0</v>
      </c>
      <c r="Y34" s="16"/>
      <c r="Z34" s="16" t="b">
        <v>0</v>
      </c>
      <c r="AA34" s="16" t="b">
        <v>0</v>
      </c>
      <c r="AB34" s="16">
        <v>16.7</v>
      </c>
      <c r="AC34" s="16" t="s">
        <v>305</v>
      </c>
      <c r="AD34" s="16" t="s">
        <v>340</v>
      </c>
      <c r="AE34" s="16">
        <v>122.42</v>
      </c>
      <c r="AF34" s="16">
        <v>16.7</v>
      </c>
      <c r="AG34" s="16">
        <v>22.04</v>
      </c>
      <c r="AH34" s="16" t="s">
        <v>282</v>
      </c>
      <c r="AI34" s="16" t="s">
        <v>282</v>
      </c>
      <c r="AJ34" s="16" t="s">
        <v>283</v>
      </c>
      <c r="AK34" s="16">
        <v>0.35</v>
      </c>
      <c r="AL34" s="16">
        <v>-2.0831092572774268</v>
      </c>
      <c r="AM34" s="16">
        <v>69</v>
      </c>
      <c r="AN34" s="16">
        <v>4.2328042328042333E-2</v>
      </c>
      <c r="AO34" s="16">
        <v>7.172523286248865E-2</v>
      </c>
      <c r="AP34" s="16">
        <v>6.22</v>
      </c>
      <c r="AQ34" s="16">
        <v>9.92</v>
      </c>
      <c r="AR34" s="16">
        <v>3.7</v>
      </c>
      <c r="AS34" s="16">
        <v>1.88</v>
      </c>
      <c r="AT34" s="16">
        <v>2.65</v>
      </c>
      <c r="AU34" s="16">
        <v>0.77</v>
      </c>
    </row>
    <row r="35" spans="1:47" x14ac:dyDescent="0.3">
      <c r="A35" s="16">
        <v>9</v>
      </c>
      <c r="B35" s="16">
        <v>18980</v>
      </c>
      <c r="C35" s="16" t="s">
        <v>343</v>
      </c>
      <c r="D35" s="16" t="s">
        <v>325</v>
      </c>
      <c r="E35" s="16" t="s">
        <v>344</v>
      </c>
      <c r="F35" s="16">
        <v>23.15</v>
      </c>
      <c r="G35" s="16">
        <v>0</v>
      </c>
      <c r="H35" s="16">
        <v>0</v>
      </c>
      <c r="I35" s="16">
        <v>39.08</v>
      </c>
      <c r="J35" s="16">
        <v>38</v>
      </c>
      <c r="K35" s="16" t="s">
        <v>273</v>
      </c>
      <c r="L35" s="16" t="s">
        <v>293</v>
      </c>
      <c r="M35" s="16">
        <v>39.159999999999997</v>
      </c>
      <c r="N35" s="16">
        <v>41.2</v>
      </c>
      <c r="O35" s="16" t="s">
        <v>293</v>
      </c>
      <c r="P35" s="16" t="s">
        <v>275</v>
      </c>
      <c r="Q35" s="16" t="s">
        <v>287</v>
      </c>
      <c r="R35" s="16" t="s">
        <v>277</v>
      </c>
      <c r="S35" s="16">
        <v>4.13</v>
      </c>
      <c r="T35" s="16">
        <v>2.1</v>
      </c>
      <c r="U35" s="16">
        <v>8.5</v>
      </c>
      <c r="V35" s="16" t="s">
        <v>278</v>
      </c>
      <c r="W35" s="16" t="s">
        <v>279</v>
      </c>
      <c r="X35" s="16" t="b">
        <v>0</v>
      </c>
      <c r="Y35" s="16"/>
      <c r="Z35" s="16" t="b">
        <v>0</v>
      </c>
      <c r="AA35" s="16" t="b">
        <v>0</v>
      </c>
      <c r="AB35" s="16">
        <v>21.9</v>
      </c>
      <c r="AC35" s="16" t="s">
        <v>345</v>
      </c>
      <c r="AD35" s="16" t="s">
        <v>340</v>
      </c>
      <c r="AE35" s="16">
        <v>36</v>
      </c>
      <c r="AF35" s="16">
        <v>5.3</v>
      </c>
      <c r="AG35" s="16">
        <v>35.700000000000003</v>
      </c>
      <c r="AH35" s="16" t="s">
        <v>346</v>
      </c>
      <c r="AI35" s="16" t="s">
        <v>282</v>
      </c>
      <c r="AJ35" s="16" t="s">
        <v>347</v>
      </c>
      <c r="AK35" s="16">
        <v>0.4</v>
      </c>
      <c r="AL35" s="16">
        <v>-0.91781616120991394</v>
      </c>
      <c r="AM35" s="16">
        <v>10</v>
      </c>
      <c r="AN35" s="16">
        <v>0.48677248677248669</v>
      </c>
      <c r="AO35" s="16">
        <v>0.53377244409869862</v>
      </c>
      <c r="AP35" s="16">
        <v>18.5</v>
      </c>
      <c r="AQ35" s="16">
        <v>19.86</v>
      </c>
      <c r="AR35" s="16">
        <v>1.36</v>
      </c>
      <c r="AS35" s="16">
        <v>7.23</v>
      </c>
      <c r="AT35" s="16">
        <v>7.5</v>
      </c>
      <c r="AU35" s="16">
        <v>0.27</v>
      </c>
    </row>
    <row r="36" spans="1:47" x14ac:dyDescent="0.3">
      <c r="A36" s="16">
        <v>9</v>
      </c>
      <c r="B36" s="16">
        <v>19556</v>
      </c>
      <c r="C36" s="16" t="s">
        <v>348</v>
      </c>
      <c r="D36" s="16" t="s">
        <v>349</v>
      </c>
      <c r="E36" s="16" t="s">
        <v>350</v>
      </c>
      <c r="F36" s="16">
        <v>36.03</v>
      </c>
      <c r="G36" s="16">
        <v>0</v>
      </c>
      <c r="H36" s="16">
        <v>0</v>
      </c>
      <c r="I36" s="16">
        <v>31.31</v>
      </c>
      <c r="J36" s="16">
        <v>52.45</v>
      </c>
      <c r="K36" s="16" t="s">
        <v>273</v>
      </c>
      <c r="L36" s="16" t="s">
        <v>274</v>
      </c>
      <c r="M36" s="16">
        <v>43.37</v>
      </c>
      <c r="N36" s="16">
        <v>44.02</v>
      </c>
      <c r="O36" s="16" t="s">
        <v>274</v>
      </c>
      <c r="P36" s="16" t="s">
        <v>275</v>
      </c>
      <c r="Q36" s="16" t="s">
        <v>276</v>
      </c>
      <c r="R36" s="16" t="s">
        <v>277</v>
      </c>
      <c r="S36" s="16">
        <v>1.61</v>
      </c>
      <c r="T36" s="16">
        <v>0.8</v>
      </c>
      <c r="U36" s="16">
        <v>1.3</v>
      </c>
      <c r="V36" s="16" t="s">
        <v>278</v>
      </c>
      <c r="W36" s="16" t="s">
        <v>279</v>
      </c>
      <c r="X36" s="16" t="b">
        <v>0</v>
      </c>
      <c r="Y36" s="16"/>
      <c r="Z36" s="16" t="b">
        <v>0</v>
      </c>
      <c r="AA36" s="16" t="b">
        <v>0</v>
      </c>
      <c r="AB36" s="16">
        <v>11.9</v>
      </c>
      <c r="AC36" s="16" t="s">
        <v>351</v>
      </c>
      <c r="AD36" s="16" t="s">
        <v>340</v>
      </c>
      <c r="AE36" s="16">
        <v>47</v>
      </c>
      <c r="AF36" s="16">
        <v>10.4</v>
      </c>
      <c r="AG36" s="16">
        <v>23.35</v>
      </c>
      <c r="AH36" s="16" t="s">
        <v>282</v>
      </c>
      <c r="AI36" s="16" t="s">
        <v>282</v>
      </c>
      <c r="AJ36" s="16" t="s">
        <v>283</v>
      </c>
      <c r="AK36" s="16">
        <v>0.4</v>
      </c>
      <c r="AL36" s="16">
        <v>-1.33216315538278</v>
      </c>
      <c r="AM36" s="16">
        <v>28</v>
      </c>
      <c r="AN36" s="16">
        <v>1.232804232804233</v>
      </c>
      <c r="AO36" s="16">
        <v>1.574073419891165</v>
      </c>
      <c r="AP36" s="16">
        <v>64.66</v>
      </c>
      <c r="AQ36" s="16">
        <v>79.13</v>
      </c>
      <c r="AR36" s="16">
        <v>14.47</v>
      </c>
      <c r="AS36" s="16">
        <v>20.25</v>
      </c>
      <c r="AT36" s="16">
        <v>22.42</v>
      </c>
      <c r="AU36" s="16">
        <v>2.17</v>
      </c>
    </row>
    <row r="37" spans="1:47" x14ac:dyDescent="0.3">
      <c r="A37" s="16">
        <v>9</v>
      </c>
      <c r="B37" s="16">
        <v>27528</v>
      </c>
      <c r="C37" s="16" t="s">
        <v>352</v>
      </c>
      <c r="D37" s="16" t="s">
        <v>315</v>
      </c>
      <c r="E37" s="16" t="s">
        <v>353</v>
      </c>
      <c r="F37" s="16">
        <v>7.95</v>
      </c>
      <c r="G37" s="16">
        <v>0</v>
      </c>
      <c r="H37" s="16">
        <v>16</v>
      </c>
      <c r="I37" s="16">
        <v>33.08</v>
      </c>
      <c r="J37" s="16">
        <v>13.78</v>
      </c>
      <c r="K37" s="16" t="s">
        <v>273</v>
      </c>
      <c r="L37" s="16" t="s">
        <v>274</v>
      </c>
      <c r="M37" s="16">
        <v>12.55</v>
      </c>
      <c r="N37" s="16">
        <v>12.55</v>
      </c>
      <c r="O37" s="16" t="s">
        <v>274</v>
      </c>
      <c r="P37" s="16" t="s">
        <v>275</v>
      </c>
      <c r="Q37" s="16" t="s">
        <v>287</v>
      </c>
      <c r="R37" s="16" t="s">
        <v>277</v>
      </c>
      <c r="S37" s="16">
        <v>1.43</v>
      </c>
      <c r="T37" s="16">
        <v>1.3</v>
      </c>
      <c r="U37" s="16">
        <v>1.9</v>
      </c>
      <c r="V37" s="16" t="s">
        <v>278</v>
      </c>
      <c r="W37" s="16" t="s">
        <v>279</v>
      </c>
      <c r="X37" s="16" t="b">
        <v>0</v>
      </c>
      <c r="Y37" s="16"/>
      <c r="Z37" s="16" t="b">
        <v>0</v>
      </c>
      <c r="AA37" s="16" t="b">
        <v>0</v>
      </c>
      <c r="AB37" s="16">
        <v>14.2</v>
      </c>
      <c r="AC37" s="16" t="s">
        <v>354</v>
      </c>
      <c r="AD37" s="16" t="s">
        <v>340</v>
      </c>
      <c r="AE37" s="16">
        <v>12.33</v>
      </c>
      <c r="AF37" s="16">
        <v>10.5</v>
      </c>
      <c r="AG37" s="16">
        <v>25.23</v>
      </c>
      <c r="AH37" s="16" t="s">
        <v>282</v>
      </c>
      <c r="AI37" s="16" t="s">
        <v>282</v>
      </c>
      <c r="AJ37" s="16" t="s">
        <v>283</v>
      </c>
      <c r="AK37" s="16">
        <v>0.4</v>
      </c>
      <c r="AL37" s="16">
        <v>-1.0169932494995879</v>
      </c>
      <c r="AM37" s="16">
        <v>21</v>
      </c>
      <c r="AN37" s="16">
        <v>0.75661375661375663</v>
      </c>
      <c r="AO37" s="16">
        <v>0.91820268403424687</v>
      </c>
      <c r="AP37" s="16">
        <v>10.43</v>
      </c>
      <c r="AQ37" s="16">
        <v>12.12</v>
      </c>
      <c r="AR37" s="16">
        <v>1.69</v>
      </c>
      <c r="AS37" s="16">
        <v>2.97</v>
      </c>
      <c r="AT37" s="16">
        <v>3.15</v>
      </c>
      <c r="AU37" s="16">
        <v>0.18</v>
      </c>
    </row>
    <row r="38" spans="1:47" x14ac:dyDescent="0.3">
      <c r="A38" s="16">
        <v>9</v>
      </c>
      <c r="B38" s="16">
        <v>15938</v>
      </c>
      <c r="C38" s="16" t="s">
        <v>355</v>
      </c>
      <c r="D38" s="16" t="s">
        <v>325</v>
      </c>
      <c r="E38" s="16" t="s">
        <v>344</v>
      </c>
      <c r="F38" s="16">
        <v>12.85</v>
      </c>
      <c r="G38" s="16">
        <v>8</v>
      </c>
      <c r="H38" s="16">
        <v>0</v>
      </c>
      <c r="I38" s="16">
        <v>30.61</v>
      </c>
      <c r="J38" s="16">
        <v>20</v>
      </c>
      <c r="K38" s="16" t="s">
        <v>273</v>
      </c>
      <c r="L38" s="16" t="s">
        <v>293</v>
      </c>
      <c r="M38" s="16">
        <v>24.39</v>
      </c>
      <c r="N38" s="16">
        <v>24.77</v>
      </c>
      <c r="O38" s="16" t="s">
        <v>293</v>
      </c>
      <c r="P38" s="16" t="s">
        <v>275</v>
      </c>
      <c r="Q38" s="16" t="s">
        <v>287</v>
      </c>
      <c r="R38" s="16" t="s">
        <v>304</v>
      </c>
      <c r="S38" s="16">
        <v>4.3499999999999996</v>
      </c>
      <c r="T38" s="16">
        <v>1.9</v>
      </c>
      <c r="U38" s="16">
        <v>8.5</v>
      </c>
      <c r="V38" s="16" t="s">
        <v>278</v>
      </c>
      <c r="W38" s="16" t="s">
        <v>279</v>
      </c>
      <c r="X38" s="16" t="b">
        <v>0</v>
      </c>
      <c r="Y38" s="16"/>
      <c r="Z38" s="16" t="b">
        <v>0</v>
      </c>
      <c r="AA38" s="16" t="b">
        <v>0</v>
      </c>
      <c r="AB38" s="16">
        <v>11</v>
      </c>
      <c r="AC38" s="16" t="s">
        <v>356</v>
      </c>
      <c r="AD38" s="16" t="s">
        <v>340</v>
      </c>
      <c r="AE38" s="16">
        <v>18</v>
      </c>
      <c r="AF38" s="16">
        <v>10</v>
      </c>
      <c r="AG38" s="16">
        <v>22.9</v>
      </c>
      <c r="AH38" s="16" t="s">
        <v>282</v>
      </c>
      <c r="AI38" s="16" t="s">
        <v>282</v>
      </c>
      <c r="AJ38" s="16" t="s">
        <v>283</v>
      </c>
      <c r="AK38" s="16">
        <v>0.4</v>
      </c>
      <c r="AL38" s="16">
        <v>-1.31096223942413</v>
      </c>
      <c r="AM38" s="16">
        <v>26</v>
      </c>
      <c r="AN38" s="16">
        <v>0.51322751322751325</v>
      </c>
      <c r="AO38" s="16">
        <v>0.64779189124247682</v>
      </c>
      <c r="AP38" s="16">
        <v>10.26</v>
      </c>
      <c r="AQ38" s="16">
        <v>12.44</v>
      </c>
      <c r="AR38" s="16">
        <v>2.1800000000000002</v>
      </c>
      <c r="AS38" s="16">
        <v>2.91</v>
      </c>
      <c r="AT38" s="16">
        <v>3.19</v>
      </c>
      <c r="AU38" s="16">
        <v>0.28000000000000003</v>
      </c>
    </row>
    <row r="39" spans="1:47" x14ac:dyDescent="0.3">
      <c r="A39" s="16">
        <v>9</v>
      </c>
      <c r="B39" s="16">
        <v>15915</v>
      </c>
      <c r="C39" s="16" t="s">
        <v>357</v>
      </c>
      <c r="D39" s="16" t="s">
        <v>325</v>
      </c>
      <c r="E39" s="16" t="s">
        <v>358</v>
      </c>
      <c r="F39" s="16">
        <v>15.4</v>
      </c>
      <c r="G39" s="16">
        <v>8</v>
      </c>
      <c r="H39" s="16">
        <v>0</v>
      </c>
      <c r="I39" s="16">
        <v>34.270000000000003</v>
      </c>
      <c r="J39" s="16">
        <v>25.3</v>
      </c>
      <c r="K39" s="16" t="s">
        <v>273</v>
      </c>
      <c r="L39" s="16" t="s">
        <v>293</v>
      </c>
      <c r="M39" s="16">
        <v>28.24</v>
      </c>
      <c r="N39" s="16">
        <v>28.71</v>
      </c>
      <c r="O39" s="16" t="s">
        <v>293</v>
      </c>
      <c r="P39" s="16" t="s">
        <v>275</v>
      </c>
      <c r="Q39" s="16" t="s">
        <v>287</v>
      </c>
      <c r="R39" s="16" t="s">
        <v>304</v>
      </c>
      <c r="S39" s="16">
        <v>2.19</v>
      </c>
      <c r="T39" s="16">
        <v>1.9</v>
      </c>
      <c r="U39" s="16">
        <v>4.2</v>
      </c>
      <c r="V39" s="16" t="s">
        <v>278</v>
      </c>
      <c r="W39" s="16" t="s">
        <v>279</v>
      </c>
      <c r="X39" s="16" t="b">
        <v>0</v>
      </c>
      <c r="Y39" s="16"/>
      <c r="Z39" s="16" t="b">
        <v>0</v>
      </c>
      <c r="AA39" s="16" t="b">
        <v>0</v>
      </c>
      <c r="AB39" s="16">
        <v>15.7</v>
      </c>
      <c r="AC39" s="16" t="s">
        <v>359</v>
      </c>
      <c r="AD39" s="16" t="s">
        <v>340</v>
      </c>
      <c r="AE39" s="16">
        <v>21.33</v>
      </c>
      <c r="AF39" s="16">
        <v>15.7</v>
      </c>
      <c r="AG39" s="16">
        <v>22.05</v>
      </c>
      <c r="AH39" s="16" t="s">
        <v>282</v>
      </c>
      <c r="AI39" s="16" t="s">
        <v>282</v>
      </c>
      <c r="AJ39" s="16" t="s">
        <v>283</v>
      </c>
      <c r="AK39" s="16">
        <v>0.4</v>
      </c>
      <c r="AL39" s="16">
        <v>-1.5763188256312379</v>
      </c>
      <c r="AM39" s="16">
        <v>49</v>
      </c>
      <c r="AN39" s="16">
        <v>0.52380952380952384</v>
      </c>
      <c r="AO39" s="16">
        <v>0.78274616289988197</v>
      </c>
      <c r="AP39" s="16">
        <v>13.25</v>
      </c>
      <c r="AQ39" s="16">
        <v>18.559999999999999</v>
      </c>
      <c r="AR39" s="16">
        <v>5.31</v>
      </c>
      <c r="AS39" s="16">
        <v>4.21</v>
      </c>
      <c r="AT39" s="16">
        <v>5.13</v>
      </c>
      <c r="AU39" s="16">
        <v>0.92</v>
      </c>
    </row>
    <row r="40" spans="1:47" x14ac:dyDescent="0.3">
      <c r="A40" s="16">
        <v>9</v>
      </c>
      <c r="B40" s="16">
        <v>10185</v>
      </c>
      <c r="C40" s="16" t="s">
        <v>360</v>
      </c>
      <c r="D40" s="16" t="s">
        <v>349</v>
      </c>
      <c r="E40" s="16" t="s">
        <v>350</v>
      </c>
      <c r="F40" s="16">
        <v>21.56</v>
      </c>
      <c r="G40" s="16">
        <v>0</v>
      </c>
      <c r="H40" s="16">
        <v>0</v>
      </c>
      <c r="I40" s="16">
        <v>32.630000000000003</v>
      </c>
      <c r="J40" s="16">
        <v>32</v>
      </c>
      <c r="K40" s="16" t="s">
        <v>273</v>
      </c>
      <c r="L40" s="16" t="s">
        <v>293</v>
      </c>
      <c r="M40" s="16">
        <v>33.85</v>
      </c>
      <c r="N40" s="16">
        <v>34.56</v>
      </c>
      <c r="O40" s="16" t="s">
        <v>293</v>
      </c>
      <c r="P40" s="16" t="s">
        <v>275</v>
      </c>
      <c r="Q40" s="16" t="s">
        <v>276</v>
      </c>
      <c r="R40" s="16" t="s">
        <v>304</v>
      </c>
      <c r="S40" s="16">
        <v>2.97</v>
      </c>
      <c r="T40" s="16">
        <v>0.4</v>
      </c>
      <c r="U40" s="16">
        <v>1.3</v>
      </c>
      <c r="V40" s="16" t="s">
        <v>278</v>
      </c>
      <c r="W40" s="16" t="s">
        <v>279</v>
      </c>
      <c r="X40" s="16" t="b">
        <v>0</v>
      </c>
      <c r="Y40" s="16"/>
      <c r="Z40" s="16" t="b">
        <v>0</v>
      </c>
      <c r="AA40" s="16" t="b">
        <v>0</v>
      </c>
      <c r="AB40" s="16">
        <v>13.6</v>
      </c>
      <c r="AC40" s="16" t="s">
        <v>361</v>
      </c>
      <c r="AD40" s="16" t="s">
        <v>340</v>
      </c>
      <c r="AE40" s="16">
        <v>28.67</v>
      </c>
      <c r="AF40" s="16">
        <v>10.4</v>
      </c>
      <c r="AG40" s="16">
        <v>24.79</v>
      </c>
      <c r="AH40" s="16" t="s">
        <v>282</v>
      </c>
      <c r="AI40" s="16" t="s">
        <v>282</v>
      </c>
      <c r="AJ40" s="16" t="s">
        <v>283</v>
      </c>
      <c r="AK40" s="16">
        <v>0.4</v>
      </c>
      <c r="AL40" s="16">
        <v>-1.237782412998677</v>
      </c>
      <c r="AM40" s="16">
        <v>26</v>
      </c>
      <c r="AN40" s="16">
        <v>2.2698412698412702</v>
      </c>
      <c r="AO40" s="16">
        <v>2.8553555753373989</v>
      </c>
      <c r="AP40" s="16">
        <v>72.63</v>
      </c>
      <c r="AQ40" s="16">
        <v>87.56</v>
      </c>
      <c r="AR40" s="16">
        <v>14.93</v>
      </c>
      <c r="AS40" s="16">
        <v>23.7</v>
      </c>
      <c r="AT40" s="16">
        <v>26.01</v>
      </c>
      <c r="AU40" s="16">
        <v>2.31</v>
      </c>
    </row>
    <row r="41" spans="1:47" x14ac:dyDescent="0.3">
      <c r="A41" s="16">
        <v>9</v>
      </c>
      <c r="B41" s="16">
        <v>10579</v>
      </c>
      <c r="C41" s="16" t="s">
        <v>362</v>
      </c>
      <c r="D41" s="16" t="s">
        <v>363</v>
      </c>
      <c r="E41" s="16" t="s">
        <v>364</v>
      </c>
      <c r="F41" s="16">
        <v>43.73</v>
      </c>
      <c r="G41" s="16">
        <v>0</v>
      </c>
      <c r="H41" s="16">
        <v>16</v>
      </c>
      <c r="I41" s="16">
        <v>31.16</v>
      </c>
      <c r="J41" s="16">
        <v>73.680000000000007</v>
      </c>
      <c r="K41" s="16" t="s">
        <v>273</v>
      </c>
      <c r="L41" s="16" t="s">
        <v>274</v>
      </c>
      <c r="M41" s="16">
        <v>58.36</v>
      </c>
      <c r="N41" s="16">
        <v>64.06</v>
      </c>
      <c r="O41" s="16" t="s">
        <v>274</v>
      </c>
      <c r="P41" s="16" t="s">
        <v>275</v>
      </c>
      <c r="Q41" s="16" t="s">
        <v>287</v>
      </c>
      <c r="R41" s="16" t="s">
        <v>304</v>
      </c>
      <c r="S41" s="16">
        <v>0.38</v>
      </c>
      <c r="T41" s="16">
        <v>9.4</v>
      </c>
      <c r="U41" s="16">
        <v>3.6</v>
      </c>
      <c r="V41" s="16" t="s">
        <v>278</v>
      </c>
      <c r="W41" s="16" t="s">
        <v>279</v>
      </c>
      <c r="X41" s="16" t="b">
        <v>0</v>
      </c>
      <c r="Y41" s="16"/>
      <c r="Z41" s="16" t="b">
        <v>0</v>
      </c>
      <c r="AA41" s="16" t="b">
        <v>0</v>
      </c>
      <c r="AB41" s="16">
        <v>11.7</v>
      </c>
      <c r="AC41" s="16" t="s">
        <v>337</v>
      </c>
      <c r="AD41" s="16" t="s">
        <v>340</v>
      </c>
      <c r="AE41" s="16">
        <v>66.31</v>
      </c>
      <c r="AF41" s="16">
        <v>10</v>
      </c>
      <c r="AG41" s="16">
        <v>23.51</v>
      </c>
      <c r="AH41" s="16" t="s">
        <v>282</v>
      </c>
      <c r="AI41" s="16" t="s">
        <v>282</v>
      </c>
      <c r="AJ41" s="16" t="s">
        <v>283</v>
      </c>
      <c r="AK41" s="16">
        <v>0.55000000000000004</v>
      </c>
      <c r="AL41" s="16">
        <v>-1.7260393418358519</v>
      </c>
      <c r="AM41" s="16">
        <v>35</v>
      </c>
      <c r="AN41" s="16">
        <v>0.1058201058201058</v>
      </c>
      <c r="AO41" s="16">
        <v>0.14235003898065299</v>
      </c>
      <c r="AP41" s="16">
        <v>7.8</v>
      </c>
      <c r="AQ41" s="16">
        <v>9.91</v>
      </c>
      <c r="AR41" s="16">
        <v>2.11</v>
      </c>
      <c r="AS41" s="16">
        <v>2.09</v>
      </c>
      <c r="AT41" s="16">
        <v>2.3199999999999998</v>
      </c>
      <c r="AU41" s="16">
        <v>0.23</v>
      </c>
    </row>
    <row r="42" spans="1:47" x14ac:dyDescent="0.3">
      <c r="A42" s="16">
        <v>9</v>
      </c>
      <c r="B42" s="16">
        <v>10580</v>
      </c>
      <c r="C42" s="16" t="s">
        <v>365</v>
      </c>
      <c r="D42" s="16" t="s">
        <v>363</v>
      </c>
      <c r="E42" s="16" t="s">
        <v>364</v>
      </c>
      <c r="F42" s="16">
        <v>43.73</v>
      </c>
      <c r="G42" s="16">
        <v>0</v>
      </c>
      <c r="H42" s="16">
        <v>16</v>
      </c>
      <c r="I42" s="16">
        <v>30.86</v>
      </c>
      <c r="J42" s="16">
        <v>73.37</v>
      </c>
      <c r="K42" s="16" t="s">
        <v>273</v>
      </c>
      <c r="L42" s="16" t="s">
        <v>274</v>
      </c>
      <c r="M42" s="16">
        <v>63.78</v>
      </c>
      <c r="N42" s="16">
        <v>67.069999999999993</v>
      </c>
      <c r="O42" s="16" t="s">
        <v>274</v>
      </c>
      <c r="P42" s="16" t="s">
        <v>275</v>
      </c>
      <c r="Q42" s="16" t="s">
        <v>287</v>
      </c>
      <c r="R42" s="16" t="s">
        <v>304</v>
      </c>
      <c r="S42" s="16">
        <v>0.4</v>
      </c>
      <c r="T42" s="16">
        <v>9</v>
      </c>
      <c r="U42" s="16">
        <v>3.6</v>
      </c>
      <c r="V42" s="16" t="s">
        <v>278</v>
      </c>
      <c r="W42" s="16" t="s">
        <v>279</v>
      </c>
      <c r="X42" s="16" t="b">
        <v>0</v>
      </c>
      <c r="Y42" s="16"/>
      <c r="Z42" s="16" t="b">
        <v>0</v>
      </c>
      <c r="AA42" s="16" t="b">
        <v>0</v>
      </c>
      <c r="AB42" s="16">
        <v>11.4</v>
      </c>
      <c r="AC42" s="16" t="s">
        <v>337</v>
      </c>
      <c r="AD42" s="16" t="s">
        <v>340</v>
      </c>
      <c r="AE42" s="16">
        <v>66.03</v>
      </c>
      <c r="AF42" s="16">
        <v>10</v>
      </c>
      <c r="AG42" s="16">
        <v>23.18</v>
      </c>
      <c r="AH42" s="16" t="s">
        <v>282</v>
      </c>
      <c r="AI42" s="16" t="s">
        <v>282</v>
      </c>
      <c r="AJ42" s="16" t="s">
        <v>283</v>
      </c>
      <c r="AK42" s="16">
        <v>0.55000000000000004</v>
      </c>
      <c r="AL42" s="16">
        <v>-3.0152022664280271</v>
      </c>
      <c r="AM42" s="16">
        <v>60</v>
      </c>
      <c r="AN42" s="16">
        <v>0.1111111111111111</v>
      </c>
      <c r="AO42" s="16">
        <v>0.17811560592062281</v>
      </c>
      <c r="AP42" s="16">
        <v>8.15</v>
      </c>
      <c r="AQ42" s="16">
        <v>12.35</v>
      </c>
      <c r="AR42" s="16">
        <v>4.2</v>
      </c>
      <c r="AS42" s="16">
        <v>2.17</v>
      </c>
      <c r="AT42" s="16">
        <v>2.86</v>
      </c>
      <c r="AU42" s="16">
        <v>0.69</v>
      </c>
    </row>
    <row r="43" spans="1:47" x14ac:dyDescent="0.3">
      <c r="A43" s="16">
        <v>9</v>
      </c>
      <c r="B43" s="16">
        <v>10581</v>
      </c>
      <c r="C43" s="16" t="s">
        <v>366</v>
      </c>
      <c r="D43" s="16" t="s">
        <v>363</v>
      </c>
      <c r="E43" s="16" t="s">
        <v>364</v>
      </c>
      <c r="F43" s="16">
        <v>43.73</v>
      </c>
      <c r="G43" s="16">
        <v>0</v>
      </c>
      <c r="H43" s="16">
        <v>16</v>
      </c>
      <c r="I43" s="16">
        <v>30.49</v>
      </c>
      <c r="J43" s="16">
        <v>72.98</v>
      </c>
      <c r="K43" s="16" t="s">
        <v>273</v>
      </c>
      <c r="L43" s="16" t="s">
        <v>274</v>
      </c>
      <c r="M43" s="16">
        <v>58.36</v>
      </c>
      <c r="N43" s="16">
        <v>64.12</v>
      </c>
      <c r="O43" s="16" t="s">
        <v>274</v>
      </c>
      <c r="P43" s="16" t="s">
        <v>275</v>
      </c>
      <c r="Q43" s="16" t="s">
        <v>287</v>
      </c>
      <c r="R43" s="16" t="s">
        <v>304</v>
      </c>
      <c r="S43" s="16">
        <v>0.17</v>
      </c>
      <c r="T43" s="16">
        <v>21</v>
      </c>
      <c r="U43" s="16">
        <v>3.6</v>
      </c>
      <c r="V43" s="16" t="s">
        <v>278</v>
      </c>
      <c r="W43" s="16" t="s">
        <v>279</v>
      </c>
      <c r="X43" s="16" t="b">
        <v>0</v>
      </c>
      <c r="Y43" s="16"/>
      <c r="Z43" s="16" t="b">
        <v>0</v>
      </c>
      <c r="AA43" s="16" t="b">
        <v>0</v>
      </c>
      <c r="AB43" s="16">
        <v>10.9</v>
      </c>
      <c r="AC43" s="16" t="s">
        <v>337</v>
      </c>
      <c r="AD43" s="16" t="s">
        <v>340</v>
      </c>
      <c r="AE43" s="16">
        <v>65.680000000000007</v>
      </c>
      <c r="AF43" s="16">
        <v>10</v>
      </c>
      <c r="AG43" s="16">
        <v>22.77</v>
      </c>
      <c r="AH43" s="16" t="s">
        <v>282</v>
      </c>
      <c r="AI43" s="16" t="s">
        <v>282</v>
      </c>
      <c r="AJ43" s="16" t="s">
        <v>283</v>
      </c>
      <c r="AK43" s="16">
        <v>0.55000000000000004</v>
      </c>
      <c r="AL43" s="16">
        <v>-3.0160328108831651</v>
      </c>
      <c r="AM43" s="16">
        <v>60</v>
      </c>
      <c r="AN43" s="16">
        <v>4.7619047619047623E-2</v>
      </c>
      <c r="AO43" s="16">
        <v>7.6343169627458712E-2</v>
      </c>
      <c r="AP43" s="16">
        <v>3.48</v>
      </c>
      <c r="AQ43" s="16">
        <v>5.27</v>
      </c>
      <c r="AR43" s="16">
        <v>1.79</v>
      </c>
      <c r="AS43" s="16">
        <v>0.91</v>
      </c>
      <c r="AT43" s="16">
        <v>1.2</v>
      </c>
      <c r="AU43" s="16">
        <v>0.28999999999999998</v>
      </c>
    </row>
    <row r="44" spans="1:47" x14ac:dyDescent="0.3">
      <c r="A44" s="16">
        <v>9</v>
      </c>
      <c r="B44" s="16">
        <v>14167</v>
      </c>
      <c r="C44" s="16" t="s">
        <v>367</v>
      </c>
      <c r="D44" s="16" t="s">
        <v>363</v>
      </c>
      <c r="E44" s="16" t="s">
        <v>364</v>
      </c>
      <c r="F44" s="16">
        <v>47.11</v>
      </c>
      <c r="G44" s="16">
        <v>0</v>
      </c>
      <c r="H44" s="16">
        <v>16</v>
      </c>
      <c r="I44" s="16">
        <v>30.3</v>
      </c>
      <c r="J44" s="16">
        <v>78.400000000000006</v>
      </c>
      <c r="K44" s="16" t="s">
        <v>273</v>
      </c>
      <c r="L44" s="16" t="s">
        <v>274</v>
      </c>
      <c r="M44" s="16">
        <v>65.47</v>
      </c>
      <c r="N44" s="16">
        <v>71.87</v>
      </c>
      <c r="O44" s="16" t="s">
        <v>274</v>
      </c>
      <c r="P44" s="16" t="s">
        <v>275</v>
      </c>
      <c r="Q44" s="16" t="s">
        <v>287</v>
      </c>
      <c r="R44" s="16" t="s">
        <v>304</v>
      </c>
      <c r="S44" s="16">
        <v>0.44</v>
      </c>
      <c r="T44" s="16">
        <v>8.1999999999999993</v>
      </c>
      <c r="U44" s="16">
        <v>3.6</v>
      </c>
      <c r="V44" s="16" t="s">
        <v>278</v>
      </c>
      <c r="W44" s="16" t="s">
        <v>279</v>
      </c>
      <c r="X44" s="16" t="b">
        <v>0</v>
      </c>
      <c r="Y44" s="16"/>
      <c r="Z44" s="16" t="b">
        <v>0</v>
      </c>
      <c r="AA44" s="16" t="b">
        <v>0</v>
      </c>
      <c r="AB44" s="16">
        <v>10.6</v>
      </c>
      <c r="AC44" s="16" t="s">
        <v>337</v>
      </c>
      <c r="AD44" s="16" t="s">
        <v>340</v>
      </c>
      <c r="AE44" s="16">
        <v>70.56</v>
      </c>
      <c r="AF44" s="16">
        <v>10</v>
      </c>
      <c r="AG44" s="16">
        <v>22.56</v>
      </c>
      <c r="AH44" s="16" t="s">
        <v>282</v>
      </c>
      <c r="AI44" s="16" t="s">
        <v>282</v>
      </c>
      <c r="AJ44" s="16" t="s">
        <v>283</v>
      </c>
      <c r="AK44" s="16">
        <v>0.55000000000000004</v>
      </c>
      <c r="AL44" s="16">
        <v>-1.7446884228920641</v>
      </c>
      <c r="AM44" s="16">
        <v>35</v>
      </c>
      <c r="AN44" s="16">
        <v>0.1216931216931217</v>
      </c>
      <c r="AO44" s="16">
        <v>0.16415643780583861</v>
      </c>
      <c r="AP44" s="16">
        <v>9.5399999999999991</v>
      </c>
      <c r="AQ44" s="16">
        <v>12.16</v>
      </c>
      <c r="AR44" s="16">
        <v>2.62</v>
      </c>
      <c r="AS44" s="16">
        <v>2.4900000000000002</v>
      </c>
      <c r="AT44" s="16">
        <v>2.75</v>
      </c>
      <c r="AU44" s="16">
        <v>0.26</v>
      </c>
    </row>
    <row r="45" spans="1:47" x14ac:dyDescent="0.3">
      <c r="A45" s="16">
        <v>9</v>
      </c>
      <c r="B45" s="16">
        <v>20907</v>
      </c>
      <c r="C45" s="16" t="s">
        <v>368</v>
      </c>
      <c r="D45" s="16" t="s">
        <v>308</v>
      </c>
      <c r="E45" s="16" t="s">
        <v>339</v>
      </c>
      <c r="F45" s="16">
        <v>45.65</v>
      </c>
      <c r="G45" s="16">
        <v>0</v>
      </c>
      <c r="H45" s="16">
        <v>16</v>
      </c>
      <c r="I45" s="16">
        <v>32.57</v>
      </c>
      <c r="J45" s="16">
        <v>78.53</v>
      </c>
      <c r="K45" s="16" t="s">
        <v>273</v>
      </c>
      <c r="L45" s="16" t="s">
        <v>274</v>
      </c>
      <c r="M45" s="16">
        <v>60.52</v>
      </c>
      <c r="N45" s="16">
        <v>70.92</v>
      </c>
      <c r="O45" s="16" t="s">
        <v>274</v>
      </c>
      <c r="P45" s="16" t="s">
        <v>275</v>
      </c>
      <c r="Q45" s="16" t="s">
        <v>287</v>
      </c>
      <c r="R45" s="16" t="s">
        <v>304</v>
      </c>
      <c r="S45" s="16">
        <v>1.56</v>
      </c>
      <c r="T45" s="16">
        <v>8.6</v>
      </c>
      <c r="U45" s="16">
        <v>13.4</v>
      </c>
      <c r="V45" s="16" t="s">
        <v>278</v>
      </c>
      <c r="W45" s="16" t="s">
        <v>279</v>
      </c>
      <c r="X45" s="16" t="b">
        <v>0</v>
      </c>
      <c r="Y45" s="16"/>
      <c r="Z45" s="16" t="b">
        <v>0</v>
      </c>
      <c r="AA45" s="16" t="b">
        <v>0</v>
      </c>
      <c r="AB45" s="16">
        <v>13.6</v>
      </c>
      <c r="AC45" s="16" t="s">
        <v>337</v>
      </c>
      <c r="AD45" s="16" t="s">
        <v>340</v>
      </c>
      <c r="AE45" s="16">
        <v>70.680000000000007</v>
      </c>
      <c r="AF45" s="16">
        <v>10</v>
      </c>
      <c r="AG45" s="16">
        <v>25.08</v>
      </c>
      <c r="AH45" s="16" t="s">
        <v>282</v>
      </c>
      <c r="AI45" s="16" t="s">
        <v>282</v>
      </c>
      <c r="AJ45" s="16" t="s">
        <v>298</v>
      </c>
      <c r="AK45" s="16">
        <v>0.55000000000000004</v>
      </c>
      <c r="AL45" s="16">
        <v>-1.4808048941858309</v>
      </c>
      <c r="AM45" s="16">
        <v>30</v>
      </c>
      <c r="AN45" s="16">
        <v>0.1164021164021164</v>
      </c>
      <c r="AO45" s="16">
        <v>0.15087588113448491</v>
      </c>
      <c r="AP45" s="16">
        <v>9.14</v>
      </c>
      <c r="AQ45" s="16">
        <v>11.2</v>
      </c>
      <c r="AR45" s="16">
        <v>2.06</v>
      </c>
      <c r="AS45" s="16">
        <v>2.57</v>
      </c>
      <c r="AT45" s="16">
        <v>2.76</v>
      </c>
      <c r="AU45" s="16">
        <v>0.19</v>
      </c>
    </row>
    <row r="46" spans="1:47" x14ac:dyDescent="0.3">
      <c r="A46" s="16">
        <v>9</v>
      </c>
      <c r="B46" s="16">
        <v>27646</v>
      </c>
      <c r="C46" s="16" t="s">
        <v>369</v>
      </c>
      <c r="D46" s="16" t="s">
        <v>308</v>
      </c>
      <c r="E46" s="16" t="s">
        <v>339</v>
      </c>
      <c r="F46" s="16">
        <v>47.97</v>
      </c>
      <c r="G46" s="16">
        <v>0</v>
      </c>
      <c r="H46" s="16">
        <v>16</v>
      </c>
      <c r="I46" s="16">
        <v>34.090000000000003</v>
      </c>
      <c r="J46" s="16">
        <v>84.42</v>
      </c>
      <c r="K46" s="16" t="s">
        <v>273</v>
      </c>
      <c r="L46" s="16" t="s">
        <v>274</v>
      </c>
      <c r="M46" s="16">
        <v>53.53</v>
      </c>
      <c r="N46" s="16">
        <v>74.7</v>
      </c>
      <c r="O46" s="16" t="s">
        <v>274</v>
      </c>
      <c r="P46" s="16" t="s">
        <v>275</v>
      </c>
      <c r="Q46" s="16" t="s">
        <v>287</v>
      </c>
      <c r="R46" s="16" t="s">
        <v>304</v>
      </c>
      <c r="S46" s="16">
        <v>2.34</v>
      </c>
      <c r="T46" s="16">
        <v>5.7</v>
      </c>
      <c r="U46" s="16">
        <v>13.4</v>
      </c>
      <c r="V46" s="16" t="s">
        <v>278</v>
      </c>
      <c r="W46" s="16" t="s">
        <v>279</v>
      </c>
      <c r="X46" s="16" t="b">
        <v>0</v>
      </c>
      <c r="Y46" s="16"/>
      <c r="Z46" s="16" t="b">
        <v>0</v>
      </c>
      <c r="AA46" s="16" t="b">
        <v>0</v>
      </c>
      <c r="AB46" s="16">
        <v>15.5</v>
      </c>
      <c r="AC46" s="16" t="s">
        <v>312</v>
      </c>
      <c r="AD46" s="16" t="s">
        <v>340</v>
      </c>
      <c r="AE46" s="16">
        <v>71.760000000000005</v>
      </c>
      <c r="AF46" s="16">
        <v>15</v>
      </c>
      <c r="AG46" s="16">
        <v>22.46</v>
      </c>
      <c r="AH46" s="16" t="s">
        <v>282</v>
      </c>
      <c r="AI46" s="16" t="s">
        <v>282</v>
      </c>
      <c r="AJ46" s="16" t="s">
        <v>283</v>
      </c>
      <c r="AK46" s="16">
        <v>0.55000000000000004</v>
      </c>
      <c r="AL46" s="16">
        <v>-1.746063577639666</v>
      </c>
      <c r="AM46" s="16">
        <v>52</v>
      </c>
      <c r="AN46" s="16">
        <v>0.17460317460317459</v>
      </c>
      <c r="AO46" s="16">
        <v>0.2660636477176333</v>
      </c>
      <c r="AP46" s="16">
        <v>14.74</v>
      </c>
      <c r="AQ46" s="16">
        <v>20.61</v>
      </c>
      <c r="AR46" s="16">
        <v>5.87</v>
      </c>
      <c r="AS46" s="16">
        <v>4.33</v>
      </c>
      <c r="AT46" s="16">
        <v>5</v>
      </c>
      <c r="AU46" s="16">
        <v>0.67</v>
      </c>
    </row>
    <row r="47" spans="1:47" x14ac:dyDescent="0.3">
      <c r="A47" s="16">
        <v>14</v>
      </c>
      <c r="B47" s="16">
        <v>24054</v>
      </c>
      <c r="C47" s="16" t="s">
        <v>338</v>
      </c>
      <c r="D47" s="16" t="s">
        <v>308</v>
      </c>
      <c r="E47" s="16" t="s">
        <v>339</v>
      </c>
      <c r="F47" s="16">
        <v>11</v>
      </c>
      <c r="G47" s="16">
        <v>0</v>
      </c>
      <c r="H47" s="16">
        <v>16</v>
      </c>
      <c r="I47" s="16">
        <v>38.729999999999997</v>
      </c>
      <c r="J47" s="16">
        <v>20.82</v>
      </c>
      <c r="K47" s="16" t="s">
        <v>273</v>
      </c>
      <c r="L47" s="16" t="s">
        <v>293</v>
      </c>
      <c r="M47" s="16">
        <v>23</v>
      </c>
      <c r="N47" s="16">
        <v>23</v>
      </c>
      <c r="O47" s="16" t="s">
        <v>293</v>
      </c>
      <c r="P47" s="16" t="s">
        <v>275</v>
      </c>
      <c r="Q47" s="16" t="s">
        <v>276</v>
      </c>
      <c r="R47" s="16" t="s">
        <v>304</v>
      </c>
      <c r="S47" s="16">
        <v>6.32</v>
      </c>
      <c r="T47" s="16">
        <v>0.5</v>
      </c>
      <c r="U47" s="16">
        <v>3</v>
      </c>
      <c r="V47" s="16" t="s">
        <v>278</v>
      </c>
      <c r="W47" s="16" t="s">
        <v>279</v>
      </c>
      <c r="X47" s="16" t="b">
        <v>0</v>
      </c>
      <c r="Y47" s="16"/>
      <c r="Z47" s="16" t="b">
        <v>0</v>
      </c>
      <c r="AA47" s="16" t="b">
        <v>0</v>
      </c>
      <c r="AB47" s="16">
        <v>21.4</v>
      </c>
      <c r="AC47" s="16" t="s">
        <v>280</v>
      </c>
      <c r="AD47" s="16" t="s">
        <v>340</v>
      </c>
      <c r="AE47" s="16">
        <v>16.66</v>
      </c>
      <c r="AF47" s="16">
        <v>20</v>
      </c>
      <c r="AG47" s="16">
        <v>23.41</v>
      </c>
      <c r="AH47" s="16" t="s">
        <v>282</v>
      </c>
      <c r="AI47" s="16" t="s">
        <v>282</v>
      </c>
      <c r="AJ47" s="16" t="s">
        <v>283</v>
      </c>
      <c r="AK47" s="16">
        <v>0.35</v>
      </c>
      <c r="AL47" s="16">
        <v>-1.1107314349236841</v>
      </c>
      <c r="AM47" s="16">
        <v>44</v>
      </c>
      <c r="AN47" s="16">
        <v>2.1322751322751321</v>
      </c>
      <c r="AO47" s="16">
        <v>3.079629139204751</v>
      </c>
      <c r="AP47" s="16">
        <v>44.39</v>
      </c>
      <c r="AQ47" s="16">
        <v>59.63</v>
      </c>
      <c r="AR47" s="16">
        <v>15.24</v>
      </c>
      <c r="AS47" s="16">
        <v>14.82</v>
      </c>
      <c r="AT47" s="16">
        <v>17.54</v>
      </c>
      <c r="AU47" s="16">
        <v>2.72</v>
      </c>
    </row>
    <row r="48" spans="1:47" x14ac:dyDescent="0.3">
      <c r="A48" s="16">
        <v>14</v>
      </c>
      <c r="B48" s="16">
        <v>14406</v>
      </c>
      <c r="C48" s="16" t="s">
        <v>341</v>
      </c>
      <c r="D48" s="16" t="s">
        <v>308</v>
      </c>
      <c r="E48" s="16" t="s">
        <v>339</v>
      </c>
      <c r="F48" s="16">
        <v>43.81</v>
      </c>
      <c r="G48" s="16">
        <v>0</v>
      </c>
      <c r="H48" s="16">
        <v>16</v>
      </c>
      <c r="I48" s="16">
        <v>44.1</v>
      </c>
      <c r="J48" s="16">
        <v>90.91</v>
      </c>
      <c r="K48" s="16" t="s">
        <v>286</v>
      </c>
      <c r="L48" s="16" t="s">
        <v>274</v>
      </c>
      <c r="M48" s="16">
        <v>60.36</v>
      </c>
      <c r="N48" s="16">
        <v>89.64</v>
      </c>
      <c r="O48" s="16" t="s">
        <v>290</v>
      </c>
      <c r="P48" s="16" t="s">
        <v>275</v>
      </c>
      <c r="Q48" s="16" t="s">
        <v>287</v>
      </c>
      <c r="R48" s="16" t="s">
        <v>304</v>
      </c>
      <c r="S48" s="16">
        <v>1</v>
      </c>
      <c r="T48" s="16">
        <v>3</v>
      </c>
      <c r="U48" s="16">
        <v>3</v>
      </c>
      <c r="V48" s="16" t="s">
        <v>278</v>
      </c>
      <c r="W48" s="16" t="s">
        <v>279</v>
      </c>
      <c r="X48" s="16" t="b">
        <v>0</v>
      </c>
      <c r="Y48" s="16"/>
      <c r="Z48" s="16" t="b">
        <v>0</v>
      </c>
      <c r="AA48" s="16" t="b">
        <v>0</v>
      </c>
      <c r="AB48" s="16">
        <v>28.3</v>
      </c>
      <c r="AC48" s="16" t="s">
        <v>280</v>
      </c>
      <c r="AD48" s="16" t="s">
        <v>340</v>
      </c>
      <c r="AE48" s="16">
        <v>72.73</v>
      </c>
      <c r="AF48" s="16">
        <v>20</v>
      </c>
      <c r="AG48" s="16">
        <v>30.13</v>
      </c>
      <c r="AH48" s="16" t="s">
        <v>282</v>
      </c>
      <c r="AI48" s="16" t="s">
        <v>282</v>
      </c>
      <c r="AJ48" s="16" t="s">
        <v>283</v>
      </c>
      <c r="AK48" s="16">
        <v>0.35</v>
      </c>
      <c r="AL48" s="16">
        <v>-1.4669614923447341</v>
      </c>
      <c r="AM48" s="16">
        <v>59</v>
      </c>
      <c r="AN48" s="16">
        <v>0.33862433862433861</v>
      </c>
      <c r="AO48" s="16">
        <v>0.5373238846773819</v>
      </c>
      <c r="AP48" s="16">
        <v>30.78</v>
      </c>
      <c r="AQ48" s="16">
        <v>45.43</v>
      </c>
      <c r="AR48" s="16">
        <v>14.65</v>
      </c>
      <c r="AS48" s="16">
        <v>11.7</v>
      </c>
      <c r="AT48" s="16">
        <v>15.62</v>
      </c>
      <c r="AU48" s="16">
        <v>3.92</v>
      </c>
    </row>
    <row r="49" spans="1:47" x14ac:dyDescent="0.3">
      <c r="A49" s="16">
        <v>14</v>
      </c>
      <c r="B49" s="16">
        <v>18980</v>
      </c>
      <c r="C49" s="16" t="s">
        <v>343</v>
      </c>
      <c r="D49" s="16" t="s">
        <v>325</v>
      </c>
      <c r="E49" s="16" t="s">
        <v>344</v>
      </c>
      <c r="F49" s="16">
        <v>23.15</v>
      </c>
      <c r="G49" s="16">
        <v>0</v>
      </c>
      <c r="H49" s="16">
        <v>0</v>
      </c>
      <c r="I49" s="16">
        <v>39.08</v>
      </c>
      <c r="J49" s="16">
        <v>38</v>
      </c>
      <c r="K49" s="16" t="s">
        <v>273</v>
      </c>
      <c r="L49" s="16" t="s">
        <v>293</v>
      </c>
      <c r="M49" s="16">
        <v>38.82</v>
      </c>
      <c r="N49" s="16">
        <v>41.53</v>
      </c>
      <c r="O49" s="16" t="s">
        <v>293</v>
      </c>
      <c r="P49" s="16" t="s">
        <v>275</v>
      </c>
      <c r="Q49" s="16" t="s">
        <v>276</v>
      </c>
      <c r="R49" s="16" t="s">
        <v>277</v>
      </c>
      <c r="S49" s="16">
        <v>3.53</v>
      </c>
      <c r="T49" s="16">
        <v>0.5</v>
      </c>
      <c r="U49" s="16">
        <v>1.8</v>
      </c>
      <c r="V49" s="16" t="s">
        <v>278</v>
      </c>
      <c r="W49" s="16" t="s">
        <v>279</v>
      </c>
      <c r="X49" s="16" t="b">
        <v>0</v>
      </c>
      <c r="Y49" s="16"/>
      <c r="Z49" s="16" t="b">
        <v>0</v>
      </c>
      <c r="AA49" s="16" t="b">
        <v>0</v>
      </c>
      <c r="AB49" s="16">
        <v>21.9</v>
      </c>
      <c r="AC49" s="16" t="s">
        <v>305</v>
      </c>
      <c r="AD49" s="16" t="s">
        <v>340</v>
      </c>
      <c r="AE49" s="16">
        <v>31.67</v>
      </c>
      <c r="AF49" s="16">
        <v>16.7</v>
      </c>
      <c r="AG49" s="16">
        <v>26.89</v>
      </c>
      <c r="AH49" s="16" t="s">
        <v>282</v>
      </c>
      <c r="AI49" s="16" t="s">
        <v>282</v>
      </c>
      <c r="AJ49" s="16" t="s">
        <v>283</v>
      </c>
      <c r="AK49" s="16">
        <v>0.35</v>
      </c>
      <c r="AL49" s="16">
        <v>-0.71288741309013592</v>
      </c>
      <c r="AM49" s="16">
        <v>24</v>
      </c>
      <c r="AN49" s="16">
        <v>1.973544973544973</v>
      </c>
      <c r="AO49" s="16">
        <v>2.4426105581722002</v>
      </c>
      <c r="AP49" s="16">
        <v>74.989999999999995</v>
      </c>
      <c r="AQ49" s="16">
        <v>87.4</v>
      </c>
      <c r="AR49" s="16">
        <v>12.41</v>
      </c>
      <c r="AS49" s="16">
        <v>29.31</v>
      </c>
      <c r="AT49" s="16">
        <v>30.86</v>
      </c>
      <c r="AU49" s="16">
        <v>1.55</v>
      </c>
    </row>
    <row r="50" spans="1:47" x14ac:dyDescent="0.3">
      <c r="A50" s="16">
        <v>14</v>
      </c>
      <c r="B50" s="16">
        <v>29003</v>
      </c>
      <c r="C50" s="16" t="s">
        <v>342</v>
      </c>
      <c r="D50" s="16" t="s">
        <v>308</v>
      </c>
      <c r="E50" s="16" t="s">
        <v>309</v>
      </c>
      <c r="F50" s="16">
        <v>82.27</v>
      </c>
      <c r="G50" s="16">
        <v>0</v>
      </c>
      <c r="H50" s="16">
        <v>16</v>
      </c>
      <c r="I50" s="16">
        <v>35.04</v>
      </c>
      <c r="J50" s="16">
        <v>146.91</v>
      </c>
      <c r="K50" s="16" t="s">
        <v>273</v>
      </c>
      <c r="L50" s="16" t="s">
        <v>274</v>
      </c>
      <c r="M50" s="16">
        <v>133.49</v>
      </c>
      <c r="N50" s="16">
        <v>158.43</v>
      </c>
      <c r="O50" s="16" t="s">
        <v>293</v>
      </c>
      <c r="P50" s="16" t="s">
        <v>275</v>
      </c>
      <c r="Q50" s="16" t="s">
        <v>287</v>
      </c>
      <c r="R50" s="16" t="s">
        <v>288</v>
      </c>
      <c r="S50" s="16">
        <v>1.05</v>
      </c>
      <c r="T50" s="16">
        <v>5.6</v>
      </c>
      <c r="U50" s="16">
        <v>5.9</v>
      </c>
      <c r="V50" s="16" t="s">
        <v>278</v>
      </c>
      <c r="W50" s="16" t="s">
        <v>279</v>
      </c>
      <c r="X50" s="16" t="b">
        <v>0</v>
      </c>
      <c r="Y50" s="16"/>
      <c r="Z50" s="16" t="b">
        <v>0</v>
      </c>
      <c r="AA50" s="16" t="b">
        <v>0</v>
      </c>
      <c r="AB50" s="16">
        <v>16.7</v>
      </c>
      <c r="AC50" s="16" t="s">
        <v>305</v>
      </c>
      <c r="AD50" s="16" t="s">
        <v>340</v>
      </c>
      <c r="AE50" s="16">
        <v>122.42</v>
      </c>
      <c r="AF50" s="16">
        <v>16.7</v>
      </c>
      <c r="AG50" s="16">
        <v>22.04</v>
      </c>
      <c r="AH50" s="16" t="s">
        <v>346</v>
      </c>
      <c r="AI50" s="16" t="s">
        <v>282</v>
      </c>
      <c r="AJ50" s="16" t="s">
        <v>347</v>
      </c>
      <c r="AK50" s="16">
        <v>0.35</v>
      </c>
      <c r="AL50" s="16">
        <v>-1.31375760127812</v>
      </c>
      <c r="AM50" s="16">
        <v>44</v>
      </c>
      <c r="AN50" s="16">
        <v>0.17989417989417991</v>
      </c>
      <c r="AO50" s="16">
        <v>0.25868905113782142</v>
      </c>
      <c r="AP50" s="16">
        <v>26.43</v>
      </c>
      <c r="AQ50" s="16">
        <v>35.79</v>
      </c>
      <c r="AR50" s="16">
        <v>9.36</v>
      </c>
      <c r="AS50" s="16">
        <v>7.98</v>
      </c>
      <c r="AT50" s="16">
        <v>9.57</v>
      </c>
      <c r="AU50" s="16">
        <v>1.59</v>
      </c>
    </row>
    <row r="51" spans="1:47" x14ac:dyDescent="0.3">
      <c r="A51" s="16">
        <v>14</v>
      </c>
      <c r="B51" s="16">
        <v>25522</v>
      </c>
      <c r="C51" s="16" t="s">
        <v>370</v>
      </c>
      <c r="D51" s="16" t="s">
        <v>325</v>
      </c>
      <c r="E51" s="16" t="s">
        <v>344</v>
      </c>
      <c r="F51" s="16">
        <v>88.06</v>
      </c>
      <c r="G51" s="16">
        <v>8</v>
      </c>
      <c r="H51" s="16">
        <v>0</v>
      </c>
      <c r="I51" s="16">
        <v>37.479999999999997</v>
      </c>
      <c r="J51" s="16">
        <v>152.12</v>
      </c>
      <c r="K51" s="16" t="s">
        <v>273</v>
      </c>
      <c r="L51" s="16" t="s">
        <v>274</v>
      </c>
      <c r="M51" s="16">
        <v>135.97</v>
      </c>
      <c r="N51" s="16">
        <v>138.54</v>
      </c>
      <c r="O51" s="16" t="s">
        <v>274</v>
      </c>
      <c r="P51" s="16" t="s">
        <v>275</v>
      </c>
      <c r="Q51" s="16" t="s">
        <v>276</v>
      </c>
      <c r="R51" s="16" t="s">
        <v>277</v>
      </c>
      <c r="S51" s="16">
        <v>2.31</v>
      </c>
      <c r="T51" s="16">
        <v>0.8</v>
      </c>
      <c r="U51" s="16">
        <v>1.8</v>
      </c>
      <c r="V51" s="16" t="s">
        <v>278</v>
      </c>
      <c r="W51" s="16" t="s">
        <v>279</v>
      </c>
      <c r="X51" s="16" t="b">
        <v>0</v>
      </c>
      <c r="Y51" s="16"/>
      <c r="Z51" s="16" t="b">
        <v>0</v>
      </c>
      <c r="AA51" s="16" t="b">
        <v>0</v>
      </c>
      <c r="AB51" s="16">
        <v>19.8</v>
      </c>
      <c r="AC51" s="16" t="s">
        <v>305</v>
      </c>
      <c r="AD51" s="16" t="s">
        <v>340</v>
      </c>
      <c r="AE51" s="16">
        <v>126.77</v>
      </c>
      <c r="AF51" s="16">
        <v>16.7</v>
      </c>
      <c r="AG51" s="16">
        <v>24.97</v>
      </c>
      <c r="AH51" s="16" t="s">
        <v>282</v>
      </c>
      <c r="AI51" s="16" t="s">
        <v>282</v>
      </c>
      <c r="AJ51" s="16" t="s">
        <v>283</v>
      </c>
      <c r="AK51" s="16">
        <v>0.35</v>
      </c>
      <c r="AL51" s="16">
        <v>-1.566042364434683</v>
      </c>
      <c r="AM51" s="16">
        <v>52</v>
      </c>
      <c r="AN51" s="16">
        <v>1.2910052910052909</v>
      </c>
      <c r="AO51" s="16">
        <v>1.965063068411723</v>
      </c>
      <c r="AP51" s="16">
        <v>196.39</v>
      </c>
      <c r="AQ51" s="16">
        <v>281.48</v>
      </c>
      <c r="AR51" s="16">
        <v>85.09</v>
      </c>
      <c r="AS51" s="16">
        <v>68.150000000000006</v>
      </c>
      <c r="AT51" s="16">
        <v>87.59</v>
      </c>
      <c r="AU51" s="16">
        <v>19.440000000000001</v>
      </c>
    </row>
    <row r="52" spans="1:47" x14ac:dyDescent="0.3">
      <c r="A52" s="16">
        <v>14</v>
      </c>
      <c r="B52" s="16">
        <v>26904</v>
      </c>
      <c r="C52" s="16" t="s">
        <v>371</v>
      </c>
      <c r="D52" s="16" t="s">
        <v>308</v>
      </c>
      <c r="E52" s="16" t="s">
        <v>309</v>
      </c>
      <c r="F52" s="16">
        <v>32.270000000000003</v>
      </c>
      <c r="G52" s="16">
        <v>0</v>
      </c>
      <c r="H52" s="16">
        <v>16</v>
      </c>
      <c r="I52" s="16">
        <v>37.950000000000003</v>
      </c>
      <c r="J52" s="16">
        <v>60.33</v>
      </c>
      <c r="K52" s="16" t="s">
        <v>273</v>
      </c>
      <c r="L52" s="16" t="s">
        <v>274</v>
      </c>
      <c r="M52" s="16">
        <v>51.33</v>
      </c>
      <c r="N52" s="16">
        <v>60.27</v>
      </c>
      <c r="O52" s="16" t="s">
        <v>290</v>
      </c>
      <c r="P52" s="16" t="s">
        <v>275</v>
      </c>
      <c r="Q52" s="16" t="s">
        <v>287</v>
      </c>
      <c r="R52" s="16" t="s">
        <v>277</v>
      </c>
      <c r="S52" s="16">
        <v>1.77</v>
      </c>
      <c r="T52" s="16">
        <v>3.3</v>
      </c>
      <c r="U52" s="16">
        <v>5.9</v>
      </c>
      <c r="V52" s="16" t="s">
        <v>278</v>
      </c>
      <c r="W52" s="16" t="s">
        <v>279</v>
      </c>
      <c r="X52" s="16" t="b">
        <v>0</v>
      </c>
      <c r="Y52" s="16"/>
      <c r="Z52" s="16" t="b">
        <v>0</v>
      </c>
      <c r="AA52" s="16" t="b">
        <v>0</v>
      </c>
      <c r="AB52" s="16">
        <v>20.399999999999999</v>
      </c>
      <c r="AC52" s="16" t="s">
        <v>305</v>
      </c>
      <c r="AD52" s="16" t="s">
        <v>340</v>
      </c>
      <c r="AE52" s="16">
        <v>50.27</v>
      </c>
      <c r="AF52" s="16">
        <v>16.7</v>
      </c>
      <c r="AG52" s="16">
        <v>25.54</v>
      </c>
      <c r="AH52" s="16" t="s">
        <v>282</v>
      </c>
      <c r="AI52" s="16" t="s">
        <v>282</v>
      </c>
      <c r="AJ52" s="16" t="s">
        <v>283</v>
      </c>
      <c r="AK52" s="16">
        <v>0.35</v>
      </c>
      <c r="AL52" s="16">
        <v>-1.4201225992575821</v>
      </c>
      <c r="AM52" s="16">
        <v>47</v>
      </c>
      <c r="AN52" s="16">
        <v>0.30158730158730163</v>
      </c>
      <c r="AO52" s="16">
        <v>0.44437950186122349</v>
      </c>
      <c r="AP52" s="16">
        <v>18.190000000000001</v>
      </c>
      <c r="AQ52" s="16">
        <v>25.25</v>
      </c>
      <c r="AR52" s="16">
        <v>7.06</v>
      </c>
      <c r="AS52" s="16">
        <v>5.95</v>
      </c>
      <c r="AT52" s="16">
        <v>7.42</v>
      </c>
      <c r="AU52" s="16">
        <v>1.47</v>
      </c>
    </row>
    <row r="53" spans="1:47" x14ac:dyDescent="0.3">
      <c r="A53" s="16">
        <v>14</v>
      </c>
      <c r="B53" s="16">
        <v>11362</v>
      </c>
      <c r="C53" s="16" t="s">
        <v>372</v>
      </c>
      <c r="D53" s="16" t="s">
        <v>308</v>
      </c>
      <c r="E53" s="16" t="s">
        <v>309</v>
      </c>
      <c r="F53" s="16">
        <v>90.51</v>
      </c>
      <c r="G53" s="16">
        <v>0</v>
      </c>
      <c r="H53" s="16">
        <v>16</v>
      </c>
      <c r="I53" s="16">
        <v>32.57</v>
      </c>
      <c r="J53" s="16">
        <v>155.71</v>
      </c>
      <c r="K53" s="16" t="s">
        <v>273</v>
      </c>
      <c r="L53" s="16" t="s">
        <v>274</v>
      </c>
      <c r="M53" s="16">
        <v>109.29</v>
      </c>
      <c r="N53" s="16">
        <v>152.30000000000001</v>
      </c>
      <c r="O53" s="16" t="s">
        <v>290</v>
      </c>
      <c r="P53" s="16" t="s">
        <v>275</v>
      </c>
      <c r="Q53" s="16" t="s">
        <v>276</v>
      </c>
      <c r="R53" s="16" t="s">
        <v>277</v>
      </c>
      <c r="S53" s="16">
        <v>2.6</v>
      </c>
      <c r="T53" s="16">
        <v>2.2000000000000002</v>
      </c>
      <c r="U53" s="16">
        <v>5.9</v>
      </c>
      <c r="V53" s="16" t="s">
        <v>278</v>
      </c>
      <c r="W53" s="16" t="s">
        <v>279</v>
      </c>
      <c r="X53" s="16" t="b">
        <v>0</v>
      </c>
      <c r="Y53" s="16"/>
      <c r="Z53" s="16" t="b">
        <v>0</v>
      </c>
      <c r="AA53" s="16" t="b">
        <v>0</v>
      </c>
      <c r="AB53" s="16">
        <v>13.6</v>
      </c>
      <c r="AC53" s="16" t="s">
        <v>291</v>
      </c>
      <c r="AD53" s="16" t="s">
        <v>340</v>
      </c>
      <c r="AE53" s="16">
        <v>140.71</v>
      </c>
      <c r="AF53" s="16">
        <v>9.6</v>
      </c>
      <c r="AG53" s="16">
        <v>25.38</v>
      </c>
      <c r="AH53" s="16" t="s">
        <v>282</v>
      </c>
      <c r="AI53" s="16" t="s">
        <v>282</v>
      </c>
      <c r="AJ53" s="16" t="s">
        <v>283</v>
      </c>
      <c r="AK53" s="16">
        <v>0.55000000000000004</v>
      </c>
      <c r="AL53" s="16">
        <v>-1.197491973209373</v>
      </c>
      <c r="AM53" s="16">
        <v>23</v>
      </c>
      <c r="AN53" s="16">
        <v>0.44444444444444442</v>
      </c>
      <c r="AO53" s="16">
        <v>0.54694975735116669</v>
      </c>
      <c r="AP53" s="16">
        <v>69.2</v>
      </c>
      <c r="AQ53" s="16">
        <v>80.650000000000006</v>
      </c>
      <c r="AR53" s="16">
        <v>11.45</v>
      </c>
      <c r="AS53" s="16">
        <v>19.43</v>
      </c>
      <c r="AT53" s="16">
        <v>20.02</v>
      </c>
      <c r="AU53" s="16">
        <v>0.59</v>
      </c>
    </row>
    <row r="54" spans="1:47" x14ac:dyDescent="0.3">
      <c r="A54" s="16">
        <v>14</v>
      </c>
      <c r="B54" s="16">
        <v>25308</v>
      </c>
      <c r="C54" s="16" t="s">
        <v>373</v>
      </c>
      <c r="D54" s="16" t="s">
        <v>315</v>
      </c>
      <c r="E54" s="16" t="s">
        <v>353</v>
      </c>
      <c r="F54" s="16">
        <v>32.799999999999997</v>
      </c>
      <c r="G54" s="16">
        <v>0</v>
      </c>
      <c r="H54" s="16">
        <v>0</v>
      </c>
      <c r="I54" s="16">
        <v>30.34</v>
      </c>
      <c r="J54" s="16">
        <v>47.09</v>
      </c>
      <c r="K54" s="16" t="s">
        <v>273</v>
      </c>
      <c r="L54" s="16" t="s">
        <v>274</v>
      </c>
      <c r="M54" s="16">
        <v>41.44</v>
      </c>
      <c r="N54" s="16">
        <v>42.39</v>
      </c>
      <c r="O54" s="16" t="s">
        <v>274</v>
      </c>
      <c r="P54" s="16" t="s">
        <v>275</v>
      </c>
      <c r="Q54" s="16" t="s">
        <v>276</v>
      </c>
      <c r="R54" s="16" t="s">
        <v>304</v>
      </c>
      <c r="S54" s="16">
        <v>2.21</v>
      </c>
      <c r="T54" s="16">
        <v>0.2</v>
      </c>
      <c r="U54" s="16">
        <v>0.4</v>
      </c>
      <c r="V54" s="16" t="s">
        <v>278</v>
      </c>
      <c r="W54" s="16" t="s">
        <v>279</v>
      </c>
      <c r="X54" s="16" t="b">
        <v>0</v>
      </c>
      <c r="Y54" s="16"/>
      <c r="Z54" s="16" t="b">
        <v>0</v>
      </c>
      <c r="AA54" s="16" t="b">
        <v>0</v>
      </c>
      <c r="AB54" s="16">
        <v>10.7</v>
      </c>
      <c r="AC54" s="16" t="s">
        <v>374</v>
      </c>
      <c r="AD54" s="16" t="s">
        <v>340</v>
      </c>
      <c r="AE54" s="16">
        <v>42.33</v>
      </c>
      <c r="AF54" s="16">
        <v>10.1</v>
      </c>
      <c r="AG54" s="16">
        <v>22.51</v>
      </c>
      <c r="AH54" s="16" t="s">
        <v>282</v>
      </c>
      <c r="AI54" s="16" t="s">
        <v>282</v>
      </c>
      <c r="AJ54" s="16" t="s">
        <v>283</v>
      </c>
      <c r="AK54" s="16">
        <v>0.4</v>
      </c>
      <c r="AL54" s="16">
        <v>-1.625391572362497</v>
      </c>
      <c r="AM54" s="16">
        <v>33</v>
      </c>
      <c r="AN54" s="16">
        <v>5.0317460317460316</v>
      </c>
      <c r="AO54" s="16">
        <v>6.6838146657882556</v>
      </c>
      <c r="AP54" s="16">
        <v>236.94</v>
      </c>
      <c r="AQ54" s="16">
        <v>302.02999999999997</v>
      </c>
      <c r="AR54" s="16">
        <v>65.09</v>
      </c>
      <c r="AS54" s="16">
        <v>71.89</v>
      </c>
      <c r="AT54" s="16">
        <v>82.78</v>
      </c>
      <c r="AU54" s="16">
        <v>10.89</v>
      </c>
    </row>
    <row r="55" spans="1:47" x14ac:dyDescent="0.3">
      <c r="A55" s="16">
        <v>14</v>
      </c>
      <c r="B55" s="16">
        <v>15938</v>
      </c>
      <c r="C55" s="16" t="s">
        <v>355</v>
      </c>
      <c r="D55" s="16" t="s">
        <v>325</v>
      </c>
      <c r="E55" s="16" t="s">
        <v>344</v>
      </c>
      <c r="F55" s="16">
        <v>12.85</v>
      </c>
      <c r="G55" s="16">
        <v>8</v>
      </c>
      <c r="H55" s="16">
        <v>0</v>
      </c>
      <c r="I55" s="16">
        <v>30.61</v>
      </c>
      <c r="J55" s="16">
        <v>20</v>
      </c>
      <c r="K55" s="16" t="s">
        <v>273</v>
      </c>
      <c r="L55" s="16" t="s">
        <v>293</v>
      </c>
      <c r="M55" s="16">
        <v>24.57</v>
      </c>
      <c r="N55" s="16">
        <v>24.91</v>
      </c>
      <c r="O55" s="16" t="s">
        <v>293</v>
      </c>
      <c r="P55" s="16" t="s">
        <v>275</v>
      </c>
      <c r="Q55" s="16" t="s">
        <v>276</v>
      </c>
      <c r="R55" s="16" t="s">
        <v>304</v>
      </c>
      <c r="S55" s="16">
        <v>5.03</v>
      </c>
      <c r="T55" s="16">
        <v>0.4</v>
      </c>
      <c r="U55" s="16">
        <v>1.8</v>
      </c>
      <c r="V55" s="16" t="s">
        <v>278</v>
      </c>
      <c r="W55" s="16" t="s">
        <v>279</v>
      </c>
      <c r="X55" s="16" t="b">
        <v>0</v>
      </c>
      <c r="Y55" s="16"/>
      <c r="Z55" s="16" t="b">
        <v>0</v>
      </c>
      <c r="AA55" s="16" t="b">
        <v>0</v>
      </c>
      <c r="AB55" s="16">
        <v>11</v>
      </c>
      <c r="AC55" s="16" t="s">
        <v>356</v>
      </c>
      <c r="AD55" s="16" t="s">
        <v>340</v>
      </c>
      <c r="AE55" s="16">
        <v>18</v>
      </c>
      <c r="AF55" s="16">
        <v>10</v>
      </c>
      <c r="AG55" s="16">
        <v>22.9</v>
      </c>
      <c r="AH55" s="16" t="s">
        <v>282</v>
      </c>
      <c r="AI55" s="16" t="s">
        <v>282</v>
      </c>
      <c r="AJ55" s="16" t="s">
        <v>283</v>
      </c>
      <c r="AK55" s="16">
        <v>0.4</v>
      </c>
      <c r="AL55" s="16">
        <v>-1.9317077375940419</v>
      </c>
      <c r="AM55" s="16">
        <v>39</v>
      </c>
      <c r="AN55" s="16">
        <v>2.8148148148148149</v>
      </c>
      <c r="AO55" s="16">
        <v>3.9022947263492389</v>
      </c>
      <c r="AP55" s="16">
        <v>56.3</v>
      </c>
      <c r="AQ55" s="16">
        <v>74.92</v>
      </c>
      <c r="AR55" s="16">
        <v>18.62</v>
      </c>
      <c r="AS55" s="16">
        <v>15.96</v>
      </c>
      <c r="AT55" s="16">
        <v>19.23</v>
      </c>
      <c r="AU55" s="16">
        <v>3.27</v>
      </c>
    </row>
    <row r="56" spans="1:47" x14ac:dyDescent="0.3">
      <c r="A56" s="16">
        <v>14</v>
      </c>
      <c r="B56" s="16">
        <v>15915</v>
      </c>
      <c r="C56" s="16" t="s">
        <v>357</v>
      </c>
      <c r="D56" s="16" t="s">
        <v>325</v>
      </c>
      <c r="E56" s="16" t="s">
        <v>358</v>
      </c>
      <c r="F56" s="16">
        <v>15.4</v>
      </c>
      <c r="G56" s="16">
        <v>8</v>
      </c>
      <c r="H56" s="16">
        <v>0</v>
      </c>
      <c r="I56" s="16">
        <v>34.270000000000003</v>
      </c>
      <c r="J56" s="16">
        <v>25.3</v>
      </c>
      <c r="K56" s="16" t="s">
        <v>273</v>
      </c>
      <c r="L56" s="16" t="s">
        <v>293</v>
      </c>
      <c r="M56" s="16">
        <v>28.58</v>
      </c>
      <c r="N56" s="16">
        <v>28.95</v>
      </c>
      <c r="O56" s="16" t="s">
        <v>293</v>
      </c>
      <c r="P56" s="16" t="s">
        <v>275</v>
      </c>
      <c r="Q56" s="16" t="s">
        <v>276</v>
      </c>
      <c r="R56" s="16" t="s">
        <v>304</v>
      </c>
      <c r="S56" s="16">
        <v>1.37</v>
      </c>
      <c r="T56" s="16">
        <v>0.9</v>
      </c>
      <c r="U56" s="16">
        <v>1.2</v>
      </c>
      <c r="V56" s="16" t="s">
        <v>278</v>
      </c>
      <c r="W56" s="16" t="s">
        <v>279</v>
      </c>
      <c r="X56" s="16" t="b">
        <v>0</v>
      </c>
      <c r="Y56" s="16"/>
      <c r="Z56" s="16" t="b">
        <v>0</v>
      </c>
      <c r="AA56" s="16" t="b">
        <v>0</v>
      </c>
      <c r="AB56" s="16">
        <v>15.7</v>
      </c>
      <c r="AC56" s="16" t="s">
        <v>359</v>
      </c>
      <c r="AD56" s="16" t="s">
        <v>340</v>
      </c>
      <c r="AE56" s="16">
        <v>21.33</v>
      </c>
      <c r="AF56" s="16">
        <v>15.7</v>
      </c>
      <c r="AG56" s="16">
        <v>22.05</v>
      </c>
      <c r="AH56" s="16" t="s">
        <v>282</v>
      </c>
      <c r="AI56" s="16" t="s">
        <v>282</v>
      </c>
      <c r="AJ56" s="16" t="s">
        <v>283</v>
      </c>
      <c r="AK56" s="16">
        <v>0.4</v>
      </c>
      <c r="AL56" s="16">
        <v>-1.7956097640790969</v>
      </c>
      <c r="AM56" s="16">
        <v>56</v>
      </c>
      <c r="AN56" s="16">
        <v>1.142857142857143</v>
      </c>
      <c r="AO56" s="16">
        <v>1.7864036823030911</v>
      </c>
      <c r="AP56" s="16">
        <v>28.91</v>
      </c>
      <c r="AQ56" s="16">
        <v>42.36</v>
      </c>
      <c r="AR56" s="16">
        <v>13.45</v>
      </c>
      <c r="AS56" s="16">
        <v>9.17</v>
      </c>
      <c r="AT56" s="16">
        <v>11.72</v>
      </c>
      <c r="AU56" s="16">
        <v>2.5499999999999998</v>
      </c>
    </row>
    <row r="57" spans="1:47" x14ac:dyDescent="0.3">
      <c r="A57" s="16">
        <v>14</v>
      </c>
      <c r="B57" s="16">
        <v>10185</v>
      </c>
      <c r="C57" s="16" t="s">
        <v>360</v>
      </c>
      <c r="D57" s="16" t="s">
        <v>349</v>
      </c>
      <c r="E57" s="16" t="s">
        <v>350</v>
      </c>
      <c r="F57" s="16">
        <v>21.56</v>
      </c>
      <c r="G57" s="16">
        <v>0</v>
      </c>
      <c r="H57" s="16">
        <v>0</v>
      </c>
      <c r="I57" s="16">
        <v>32.630000000000003</v>
      </c>
      <c r="J57" s="16">
        <v>32</v>
      </c>
      <c r="K57" s="16" t="s">
        <v>273</v>
      </c>
      <c r="L57" s="16" t="s">
        <v>293</v>
      </c>
      <c r="M57" s="16">
        <v>33.369999999999997</v>
      </c>
      <c r="N57" s="16">
        <v>34.090000000000003</v>
      </c>
      <c r="O57" s="16" t="s">
        <v>293</v>
      </c>
      <c r="P57" s="16" t="s">
        <v>275</v>
      </c>
      <c r="Q57" s="16" t="s">
        <v>276</v>
      </c>
      <c r="R57" s="16" t="s">
        <v>304</v>
      </c>
      <c r="S57" s="16">
        <v>2.83</v>
      </c>
      <c r="T57" s="16">
        <v>0.1</v>
      </c>
      <c r="U57" s="16">
        <v>0.3</v>
      </c>
      <c r="V57" s="16" t="s">
        <v>278</v>
      </c>
      <c r="W57" s="16" t="s">
        <v>279</v>
      </c>
      <c r="X57" s="16" t="b">
        <v>0</v>
      </c>
      <c r="Y57" s="16"/>
      <c r="Z57" s="16" t="b">
        <v>0</v>
      </c>
      <c r="AA57" s="16" t="b">
        <v>0</v>
      </c>
      <c r="AB57" s="16">
        <v>13.6</v>
      </c>
      <c r="AC57" s="16" t="s">
        <v>361</v>
      </c>
      <c r="AD57" s="16" t="s">
        <v>340</v>
      </c>
      <c r="AE57" s="16">
        <v>28.67</v>
      </c>
      <c r="AF57" s="16">
        <v>10.4</v>
      </c>
      <c r="AG57" s="16">
        <v>24.79</v>
      </c>
      <c r="AH57" s="16" t="s">
        <v>282</v>
      </c>
      <c r="AI57" s="16" t="s">
        <v>282</v>
      </c>
      <c r="AJ57" s="16" t="s">
        <v>283</v>
      </c>
      <c r="AK57" s="16">
        <v>0.4</v>
      </c>
      <c r="AL57" s="16">
        <v>-0.99475845919936079</v>
      </c>
      <c r="AM57" s="16">
        <v>21</v>
      </c>
      <c r="AN57" s="16">
        <v>9.0370370370370363</v>
      </c>
      <c r="AO57" s="16">
        <v>10.910484064700141</v>
      </c>
      <c r="AP57" s="16">
        <v>289.19</v>
      </c>
      <c r="AQ57" s="16">
        <v>334.58</v>
      </c>
      <c r="AR57" s="16">
        <v>45.39</v>
      </c>
      <c r="AS57" s="16">
        <v>94.36</v>
      </c>
      <c r="AT57" s="16">
        <v>99.37</v>
      </c>
      <c r="AU57" s="16">
        <v>5.01</v>
      </c>
    </row>
    <row r="58" spans="1:47" x14ac:dyDescent="0.3">
      <c r="A58" s="16">
        <v>14</v>
      </c>
      <c r="B58" s="16">
        <v>19659</v>
      </c>
      <c r="C58" s="16" t="s">
        <v>375</v>
      </c>
      <c r="D58" s="16" t="s">
        <v>308</v>
      </c>
      <c r="E58" s="16" t="s">
        <v>339</v>
      </c>
      <c r="F58" s="16">
        <v>59.32</v>
      </c>
      <c r="G58" s="16">
        <v>0</v>
      </c>
      <c r="H58" s="16">
        <v>16</v>
      </c>
      <c r="I58" s="16">
        <v>30.62</v>
      </c>
      <c r="J58" s="16">
        <v>99.18</v>
      </c>
      <c r="K58" s="16" t="s">
        <v>273</v>
      </c>
      <c r="L58" s="16" t="s">
        <v>274</v>
      </c>
      <c r="M58" s="16">
        <v>86.1</v>
      </c>
      <c r="N58" s="16">
        <v>101.66</v>
      </c>
      <c r="O58" s="16" t="s">
        <v>293</v>
      </c>
      <c r="P58" s="16" t="s">
        <v>275</v>
      </c>
      <c r="Q58" s="16" t="s">
        <v>276</v>
      </c>
      <c r="R58" s="16" t="s">
        <v>304</v>
      </c>
      <c r="S58" s="16">
        <v>2.6</v>
      </c>
      <c r="T58" s="16">
        <v>1.1000000000000001</v>
      </c>
      <c r="U58" s="16">
        <v>3</v>
      </c>
      <c r="V58" s="16" t="s">
        <v>278</v>
      </c>
      <c r="W58" s="16" t="s">
        <v>279</v>
      </c>
      <c r="X58" s="16" t="b">
        <v>0</v>
      </c>
      <c r="Y58" s="16"/>
      <c r="Z58" s="16" t="b">
        <v>0</v>
      </c>
      <c r="AA58" s="16" t="b">
        <v>0</v>
      </c>
      <c r="AB58" s="16">
        <v>11.1</v>
      </c>
      <c r="AC58" s="16" t="s">
        <v>337</v>
      </c>
      <c r="AD58" s="16" t="s">
        <v>340</v>
      </c>
      <c r="AE58" s="16">
        <v>89.26</v>
      </c>
      <c r="AF58" s="16">
        <v>10</v>
      </c>
      <c r="AG58" s="16">
        <v>22.91</v>
      </c>
      <c r="AH58" s="16" t="s">
        <v>282</v>
      </c>
      <c r="AI58" s="16" t="s">
        <v>282</v>
      </c>
      <c r="AJ58" s="16" t="s">
        <v>283</v>
      </c>
      <c r="AK58" s="16">
        <v>0.55000000000000004</v>
      </c>
      <c r="AL58" s="16">
        <v>-1.877512925300814</v>
      </c>
      <c r="AM58" s="16">
        <v>38</v>
      </c>
      <c r="AN58" s="16">
        <v>0.87830687830687826</v>
      </c>
      <c r="AO58" s="16">
        <v>1.2081133815872329</v>
      </c>
      <c r="AP58" s="16">
        <v>87.11</v>
      </c>
      <c r="AQ58" s="16">
        <v>113.23</v>
      </c>
      <c r="AR58" s="16">
        <v>26.12</v>
      </c>
      <c r="AS58" s="16">
        <v>22.99</v>
      </c>
      <c r="AT58" s="16">
        <v>25.95</v>
      </c>
      <c r="AU58" s="16">
        <v>2.96</v>
      </c>
    </row>
    <row r="59" spans="1:47" x14ac:dyDescent="0.3">
      <c r="A59" s="16">
        <v>14</v>
      </c>
      <c r="B59" s="16">
        <v>17115</v>
      </c>
      <c r="C59" s="16" t="s">
        <v>376</v>
      </c>
      <c r="D59" s="16" t="s">
        <v>308</v>
      </c>
      <c r="E59" s="16" t="s">
        <v>309</v>
      </c>
      <c r="F59" s="16">
        <v>48.37</v>
      </c>
      <c r="G59" s="16">
        <v>0</v>
      </c>
      <c r="H59" s="16">
        <v>16</v>
      </c>
      <c r="I59" s="16">
        <v>31.05</v>
      </c>
      <c r="J59" s="16">
        <v>81.37</v>
      </c>
      <c r="K59" s="16" t="s">
        <v>273</v>
      </c>
      <c r="L59" s="16" t="s">
        <v>274</v>
      </c>
      <c r="M59" s="16">
        <v>76.78</v>
      </c>
      <c r="N59" s="16">
        <v>87.69</v>
      </c>
      <c r="O59" s="16" t="s">
        <v>293</v>
      </c>
      <c r="P59" s="16" t="s">
        <v>275</v>
      </c>
      <c r="Q59" s="16" t="s">
        <v>287</v>
      </c>
      <c r="R59" s="16" t="s">
        <v>304</v>
      </c>
      <c r="S59" s="16">
        <v>1.3</v>
      </c>
      <c r="T59" s="16">
        <v>4.5</v>
      </c>
      <c r="U59" s="16">
        <v>5.9</v>
      </c>
      <c r="V59" s="16" t="s">
        <v>278</v>
      </c>
      <c r="W59" s="16" t="s">
        <v>279</v>
      </c>
      <c r="X59" s="16" t="b">
        <v>0</v>
      </c>
      <c r="Y59" s="16"/>
      <c r="Z59" s="16" t="b">
        <v>0</v>
      </c>
      <c r="AA59" s="16" t="b">
        <v>0</v>
      </c>
      <c r="AB59" s="16">
        <v>11.6</v>
      </c>
      <c r="AC59" s="16" t="s">
        <v>337</v>
      </c>
      <c r="AD59" s="16" t="s">
        <v>340</v>
      </c>
      <c r="AE59" s="16">
        <v>73.23</v>
      </c>
      <c r="AF59" s="16">
        <v>10</v>
      </c>
      <c r="AG59" s="16">
        <v>23.39</v>
      </c>
      <c r="AH59" s="16" t="s">
        <v>282</v>
      </c>
      <c r="AI59" s="16" t="s">
        <v>282</v>
      </c>
      <c r="AJ59" s="16" t="s">
        <v>283</v>
      </c>
      <c r="AK59" s="16">
        <v>0.55000000000000004</v>
      </c>
      <c r="AL59" s="16">
        <v>-2.0978594985850041</v>
      </c>
      <c r="AM59" s="16">
        <v>42</v>
      </c>
      <c r="AN59" s="16">
        <v>0.22222222222222221</v>
      </c>
      <c r="AO59" s="16">
        <v>0.31546042215933351</v>
      </c>
      <c r="AP59" s="16">
        <v>18.079999999999998</v>
      </c>
      <c r="AQ59" s="16">
        <v>24.26</v>
      </c>
      <c r="AR59" s="16">
        <v>6.18</v>
      </c>
      <c r="AS59" s="16">
        <v>4.84</v>
      </c>
      <c r="AT59" s="16">
        <v>5.65</v>
      </c>
      <c r="AU59" s="16">
        <v>0.81</v>
      </c>
    </row>
    <row r="60" spans="1:47" x14ac:dyDescent="0.3">
      <c r="A60" s="16">
        <v>14</v>
      </c>
      <c r="B60" s="16">
        <v>10579</v>
      </c>
      <c r="C60" s="16" t="s">
        <v>362</v>
      </c>
      <c r="D60" s="16" t="s">
        <v>363</v>
      </c>
      <c r="E60" s="16" t="s">
        <v>364</v>
      </c>
      <c r="F60" s="16">
        <v>43.73</v>
      </c>
      <c r="G60" s="16">
        <v>0</v>
      </c>
      <c r="H60" s="16">
        <v>16</v>
      </c>
      <c r="I60" s="16">
        <v>31.16</v>
      </c>
      <c r="J60" s="16">
        <v>73.680000000000007</v>
      </c>
      <c r="K60" s="16" t="s">
        <v>273</v>
      </c>
      <c r="L60" s="16" t="s">
        <v>274</v>
      </c>
      <c r="M60" s="16">
        <v>53.51</v>
      </c>
      <c r="N60" s="16">
        <v>63.92</v>
      </c>
      <c r="O60" s="16" t="s">
        <v>274</v>
      </c>
      <c r="P60" s="16" t="s">
        <v>275</v>
      </c>
      <c r="Q60" s="16" t="s">
        <v>276</v>
      </c>
      <c r="R60" s="16" t="s">
        <v>304</v>
      </c>
      <c r="S60" s="16">
        <v>0.15</v>
      </c>
      <c r="T60" s="16">
        <v>4.7</v>
      </c>
      <c r="U60" s="16">
        <v>0.7</v>
      </c>
      <c r="V60" s="16" t="s">
        <v>278</v>
      </c>
      <c r="W60" s="16" t="s">
        <v>279</v>
      </c>
      <c r="X60" s="16" t="b">
        <v>0</v>
      </c>
      <c r="Y60" s="16"/>
      <c r="Z60" s="16" t="b">
        <v>0</v>
      </c>
      <c r="AA60" s="16" t="b">
        <v>0</v>
      </c>
      <c r="AB60" s="16">
        <v>11.7</v>
      </c>
      <c r="AC60" s="16" t="s">
        <v>337</v>
      </c>
      <c r="AD60" s="16" t="s">
        <v>340</v>
      </c>
      <c r="AE60" s="16">
        <v>66.31</v>
      </c>
      <c r="AF60" s="16">
        <v>10</v>
      </c>
      <c r="AG60" s="16">
        <v>23.51</v>
      </c>
      <c r="AH60" s="16" t="s">
        <v>282</v>
      </c>
      <c r="AI60" s="16" t="s">
        <v>282</v>
      </c>
      <c r="AJ60" s="16" t="s">
        <v>283</v>
      </c>
      <c r="AK60" s="16">
        <v>0.55000000000000004</v>
      </c>
      <c r="AL60" s="16">
        <v>-1.313774709809135</v>
      </c>
      <c r="AM60" s="16">
        <v>26</v>
      </c>
      <c r="AN60" s="16">
        <v>0.2116402116402116</v>
      </c>
      <c r="AO60" s="16">
        <v>0.26724972316652418</v>
      </c>
      <c r="AP60" s="16">
        <v>15.59</v>
      </c>
      <c r="AQ60" s="16">
        <v>18.61</v>
      </c>
      <c r="AR60" s="16">
        <v>3.02</v>
      </c>
      <c r="AS60" s="16">
        <v>4.1900000000000004</v>
      </c>
      <c r="AT60" s="16">
        <v>4.3600000000000003</v>
      </c>
      <c r="AU60" s="16">
        <v>0.17</v>
      </c>
    </row>
    <row r="61" spans="1:47" x14ac:dyDescent="0.3">
      <c r="A61" s="16">
        <v>14</v>
      </c>
      <c r="B61" s="16">
        <v>20907</v>
      </c>
      <c r="C61" s="16" t="s">
        <v>368</v>
      </c>
      <c r="D61" s="16" t="s">
        <v>308</v>
      </c>
      <c r="E61" s="16" t="s">
        <v>339</v>
      </c>
      <c r="F61" s="16">
        <v>45.65</v>
      </c>
      <c r="G61" s="16">
        <v>0</v>
      </c>
      <c r="H61" s="16">
        <v>16</v>
      </c>
      <c r="I61" s="16">
        <v>32.57</v>
      </c>
      <c r="J61" s="16">
        <v>78.53</v>
      </c>
      <c r="K61" s="16" t="s">
        <v>273</v>
      </c>
      <c r="L61" s="16" t="s">
        <v>274</v>
      </c>
      <c r="M61" s="16">
        <v>60.85</v>
      </c>
      <c r="N61" s="16">
        <v>73.34</v>
      </c>
      <c r="O61" s="16" t="s">
        <v>274</v>
      </c>
      <c r="P61" s="16" t="s">
        <v>275</v>
      </c>
      <c r="Q61" s="16" t="s">
        <v>276</v>
      </c>
      <c r="R61" s="16" t="s">
        <v>304</v>
      </c>
      <c r="S61" s="16">
        <v>3.06</v>
      </c>
      <c r="T61" s="16">
        <v>1</v>
      </c>
      <c r="U61" s="16">
        <v>3</v>
      </c>
      <c r="V61" s="16" t="s">
        <v>278</v>
      </c>
      <c r="W61" s="16" t="s">
        <v>279</v>
      </c>
      <c r="X61" s="16" t="b">
        <v>0</v>
      </c>
      <c r="Y61" s="16"/>
      <c r="Z61" s="16" t="b">
        <v>0</v>
      </c>
      <c r="AA61" s="16" t="b">
        <v>0</v>
      </c>
      <c r="AB61" s="16">
        <v>13.6</v>
      </c>
      <c r="AC61" s="16" t="s">
        <v>337</v>
      </c>
      <c r="AD61" s="16" t="s">
        <v>340</v>
      </c>
      <c r="AE61" s="16">
        <v>70.680000000000007</v>
      </c>
      <c r="AF61" s="16">
        <v>10</v>
      </c>
      <c r="AG61" s="16">
        <v>25.08</v>
      </c>
      <c r="AH61" s="16" t="s">
        <v>282</v>
      </c>
      <c r="AI61" s="16" t="s">
        <v>282</v>
      </c>
      <c r="AJ61" s="16" t="s">
        <v>298</v>
      </c>
      <c r="AK61" s="16">
        <v>0.55000000000000004</v>
      </c>
      <c r="AL61" s="16">
        <v>-1.2155102625144389</v>
      </c>
      <c r="AM61" s="16">
        <v>24</v>
      </c>
      <c r="AN61" s="16">
        <v>1.0317460317460321</v>
      </c>
      <c r="AO61" s="16">
        <v>1.2825656097252021</v>
      </c>
      <c r="AP61" s="16">
        <v>81.02</v>
      </c>
      <c r="AQ61" s="16">
        <v>95.18</v>
      </c>
      <c r="AR61" s="16">
        <v>14.16</v>
      </c>
      <c r="AS61" s="16">
        <v>22.75</v>
      </c>
      <c r="AT61" s="16">
        <v>23.5</v>
      </c>
      <c r="AU61" s="16">
        <v>0.75</v>
      </c>
    </row>
    <row r="62" spans="1:47" x14ac:dyDescent="0.3">
      <c r="A62" s="16">
        <v>14</v>
      </c>
      <c r="B62" s="16">
        <v>28364</v>
      </c>
      <c r="C62" s="16" t="s">
        <v>377</v>
      </c>
      <c r="D62" s="16" t="s">
        <v>308</v>
      </c>
      <c r="E62" s="16" t="s">
        <v>378</v>
      </c>
      <c r="F62" s="16">
        <v>78.28</v>
      </c>
      <c r="G62" s="16">
        <v>0</v>
      </c>
      <c r="H62" s="16">
        <v>16</v>
      </c>
      <c r="I62" s="16">
        <v>33.01</v>
      </c>
      <c r="J62" s="16">
        <v>135.55000000000001</v>
      </c>
      <c r="K62" s="16" t="s">
        <v>273</v>
      </c>
      <c r="L62" s="16" t="s">
        <v>274</v>
      </c>
      <c r="M62" s="16">
        <v>113.43</v>
      </c>
      <c r="N62" s="16">
        <v>133.28</v>
      </c>
      <c r="O62" s="16" t="s">
        <v>290</v>
      </c>
      <c r="P62" s="16" t="s">
        <v>275</v>
      </c>
      <c r="Q62" s="16" t="s">
        <v>287</v>
      </c>
      <c r="R62" s="16" t="s">
        <v>304</v>
      </c>
      <c r="S62" s="16">
        <v>2.29</v>
      </c>
      <c r="T62" s="16">
        <v>3.2</v>
      </c>
      <c r="U62" s="16">
        <v>7.3</v>
      </c>
      <c r="V62" s="16" t="s">
        <v>278</v>
      </c>
      <c r="W62" s="16" t="s">
        <v>279</v>
      </c>
      <c r="X62" s="16" t="b">
        <v>0</v>
      </c>
      <c r="Y62" s="16"/>
      <c r="Z62" s="16" t="b">
        <v>0</v>
      </c>
      <c r="AA62" s="16" t="b">
        <v>0</v>
      </c>
      <c r="AB62" s="16">
        <v>14.1</v>
      </c>
      <c r="AC62" s="16" t="s">
        <v>337</v>
      </c>
      <c r="AD62" s="16" t="s">
        <v>340</v>
      </c>
      <c r="AE62" s="16">
        <v>122</v>
      </c>
      <c r="AF62" s="16">
        <v>10</v>
      </c>
      <c r="AG62" s="16">
        <v>25.57</v>
      </c>
      <c r="AH62" s="16" t="s">
        <v>282</v>
      </c>
      <c r="AI62" s="16" t="s">
        <v>282</v>
      </c>
      <c r="AJ62" s="16" t="s">
        <v>283</v>
      </c>
      <c r="AK62" s="16">
        <v>0.55000000000000004</v>
      </c>
      <c r="AL62" s="16">
        <v>-2.140817103629399</v>
      </c>
      <c r="AM62" s="16">
        <v>43</v>
      </c>
      <c r="AN62" s="16">
        <v>0.31216931216931221</v>
      </c>
      <c r="AO62" s="16">
        <v>0.44582879271336989</v>
      </c>
      <c r="AP62" s="16">
        <v>42.31</v>
      </c>
      <c r="AQ62" s="16">
        <v>57.11</v>
      </c>
      <c r="AR62" s="16">
        <v>14.8</v>
      </c>
      <c r="AS62" s="16">
        <v>12.04</v>
      </c>
      <c r="AT62" s="16">
        <v>14.33</v>
      </c>
      <c r="AU62" s="16">
        <v>2.29</v>
      </c>
    </row>
    <row r="63" spans="1:47" x14ac:dyDescent="0.3">
      <c r="A63" s="16">
        <v>14</v>
      </c>
      <c r="B63" s="16">
        <v>27646</v>
      </c>
      <c r="C63" s="16" t="s">
        <v>369</v>
      </c>
      <c r="D63" s="16" t="s">
        <v>308</v>
      </c>
      <c r="E63" s="16" t="s">
        <v>339</v>
      </c>
      <c r="F63" s="16">
        <v>47.97</v>
      </c>
      <c r="G63" s="16">
        <v>0</v>
      </c>
      <c r="H63" s="16">
        <v>16</v>
      </c>
      <c r="I63" s="16">
        <v>34.090000000000003</v>
      </c>
      <c r="J63" s="16">
        <v>84.42</v>
      </c>
      <c r="K63" s="16" t="s">
        <v>273</v>
      </c>
      <c r="L63" s="16" t="s">
        <v>274</v>
      </c>
      <c r="M63" s="16">
        <v>56.43</v>
      </c>
      <c r="N63" s="16">
        <v>76.069999999999993</v>
      </c>
      <c r="O63" s="16" t="s">
        <v>274</v>
      </c>
      <c r="P63" s="16" t="s">
        <v>275</v>
      </c>
      <c r="Q63" s="16" t="s">
        <v>276</v>
      </c>
      <c r="R63" s="16" t="s">
        <v>304</v>
      </c>
      <c r="S63" s="16">
        <v>2.75</v>
      </c>
      <c r="T63" s="16">
        <v>1.1000000000000001</v>
      </c>
      <c r="U63" s="16">
        <v>3</v>
      </c>
      <c r="V63" s="16" t="s">
        <v>278</v>
      </c>
      <c r="W63" s="16" t="s">
        <v>279</v>
      </c>
      <c r="X63" s="16" t="b">
        <v>0</v>
      </c>
      <c r="Y63" s="16"/>
      <c r="Z63" s="16" t="b">
        <v>0</v>
      </c>
      <c r="AA63" s="16" t="b">
        <v>0</v>
      </c>
      <c r="AB63" s="16">
        <v>15.5</v>
      </c>
      <c r="AC63" s="16" t="s">
        <v>312</v>
      </c>
      <c r="AD63" s="16" t="s">
        <v>340</v>
      </c>
      <c r="AE63" s="16">
        <v>71.760000000000005</v>
      </c>
      <c r="AF63" s="16">
        <v>15</v>
      </c>
      <c r="AG63" s="16">
        <v>22.46</v>
      </c>
      <c r="AH63" s="16" t="s">
        <v>282</v>
      </c>
      <c r="AI63" s="16" t="s">
        <v>282</v>
      </c>
      <c r="AJ63" s="16" t="s">
        <v>283</v>
      </c>
      <c r="AK63" s="16">
        <v>0.55000000000000004</v>
      </c>
      <c r="AL63" s="16">
        <v>-1.679239299474278</v>
      </c>
      <c r="AM63" s="16">
        <v>50</v>
      </c>
      <c r="AN63" s="16">
        <v>0.92592592592592593</v>
      </c>
      <c r="AO63" s="16">
        <v>1.392381286891003</v>
      </c>
      <c r="AP63" s="16">
        <v>78.17</v>
      </c>
      <c r="AQ63" s="16">
        <v>107.85</v>
      </c>
      <c r="AR63" s="16">
        <v>29.68</v>
      </c>
      <c r="AS63" s="16">
        <v>22.97</v>
      </c>
      <c r="AT63" s="16">
        <v>26.18</v>
      </c>
      <c r="AU63" s="16">
        <v>3.21</v>
      </c>
    </row>
    <row r="64" spans="1:47" x14ac:dyDescent="0.3">
      <c r="A64" s="16">
        <v>14</v>
      </c>
      <c r="B64" s="16">
        <v>20115</v>
      </c>
      <c r="C64" s="16" t="s">
        <v>379</v>
      </c>
      <c r="D64" s="16" t="s">
        <v>308</v>
      </c>
      <c r="E64" s="16" t="s">
        <v>309</v>
      </c>
      <c r="F64" s="16">
        <v>53.47</v>
      </c>
      <c r="G64" s="16">
        <v>0</v>
      </c>
      <c r="H64" s="16">
        <v>16</v>
      </c>
      <c r="I64" s="16">
        <v>34.340000000000003</v>
      </c>
      <c r="J64" s="16">
        <v>94.46</v>
      </c>
      <c r="K64" s="16" t="s">
        <v>273</v>
      </c>
      <c r="L64" s="16" t="s">
        <v>274</v>
      </c>
      <c r="M64" s="16">
        <v>71.97</v>
      </c>
      <c r="N64" s="16">
        <v>91.53</v>
      </c>
      <c r="O64" s="16" t="s">
        <v>290</v>
      </c>
      <c r="P64" s="16" t="s">
        <v>275</v>
      </c>
      <c r="Q64" s="16" t="s">
        <v>287</v>
      </c>
      <c r="R64" s="16" t="s">
        <v>304</v>
      </c>
      <c r="S64" s="16">
        <v>1.58</v>
      </c>
      <c r="T64" s="16">
        <v>3.7</v>
      </c>
      <c r="U64" s="16">
        <v>5.9</v>
      </c>
      <c r="V64" s="16" t="s">
        <v>278</v>
      </c>
      <c r="W64" s="16" t="s">
        <v>279</v>
      </c>
      <c r="X64" s="16" t="b">
        <v>0</v>
      </c>
      <c r="Y64" s="16"/>
      <c r="Z64" s="16" t="b">
        <v>0</v>
      </c>
      <c r="AA64" s="16" t="b">
        <v>0</v>
      </c>
      <c r="AB64" s="16">
        <v>15.8</v>
      </c>
      <c r="AC64" s="16" t="s">
        <v>312</v>
      </c>
      <c r="AD64" s="16" t="s">
        <v>340</v>
      </c>
      <c r="AE64" s="16">
        <v>80.290000000000006</v>
      </c>
      <c r="AF64" s="16">
        <v>15</v>
      </c>
      <c r="AG64" s="16">
        <v>22.75</v>
      </c>
      <c r="AH64" s="16" t="s">
        <v>282</v>
      </c>
      <c r="AI64" s="16" t="s">
        <v>282</v>
      </c>
      <c r="AJ64" s="16" t="s">
        <v>298</v>
      </c>
      <c r="AK64" s="16">
        <v>0.55000000000000004</v>
      </c>
      <c r="AL64" s="16">
        <v>-1.5407085223940931</v>
      </c>
      <c r="AM64" s="16">
        <v>46</v>
      </c>
      <c r="AN64" s="16">
        <v>0.26984126984126983</v>
      </c>
      <c r="AO64" s="16">
        <v>0.39456529308269639</v>
      </c>
      <c r="AP64" s="16">
        <v>25.49</v>
      </c>
      <c r="AQ64" s="16">
        <v>34.200000000000003</v>
      </c>
      <c r="AR64" s="16">
        <v>8.7100000000000009</v>
      </c>
      <c r="AS64" s="16">
        <v>7.55</v>
      </c>
      <c r="AT64" s="16">
        <v>8.3800000000000008</v>
      </c>
      <c r="AU64" s="16">
        <v>0.83</v>
      </c>
    </row>
    <row r="65" spans="1:47" x14ac:dyDescent="0.3">
      <c r="A65" s="16">
        <v>14</v>
      </c>
      <c r="B65" s="16">
        <v>13214</v>
      </c>
      <c r="C65" s="16" t="s">
        <v>380</v>
      </c>
      <c r="D65" s="16" t="s">
        <v>308</v>
      </c>
      <c r="E65" s="16" t="s">
        <v>309</v>
      </c>
      <c r="F65" s="16">
        <v>45.32</v>
      </c>
      <c r="G65" s="16">
        <v>0</v>
      </c>
      <c r="H65" s="16">
        <v>16</v>
      </c>
      <c r="I65" s="16">
        <v>31.64</v>
      </c>
      <c r="J65" s="16">
        <v>76.91</v>
      </c>
      <c r="K65" s="16" t="s">
        <v>273</v>
      </c>
      <c r="L65" s="16" t="s">
        <v>274</v>
      </c>
      <c r="M65" s="16">
        <v>64.349999999999994</v>
      </c>
      <c r="N65" s="16">
        <v>85.94</v>
      </c>
      <c r="O65" s="16" t="s">
        <v>293</v>
      </c>
      <c r="P65" s="16" t="s">
        <v>275</v>
      </c>
      <c r="Q65" s="16" t="s">
        <v>287</v>
      </c>
      <c r="R65" s="16" t="s">
        <v>277</v>
      </c>
      <c r="S65" s="16">
        <v>2.08</v>
      </c>
      <c r="T65" s="16">
        <v>2.8</v>
      </c>
      <c r="U65" s="16">
        <v>5.9</v>
      </c>
      <c r="V65" s="16" t="s">
        <v>278</v>
      </c>
      <c r="W65" s="16" t="s">
        <v>279</v>
      </c>
      <c r="X65" s="16" t="b">
        <v>0</v>
      </c>
      <c r="Y65" s="16"/>
      <c r="Z65" s="16" t="b">
        <v>0</v>
      </c>
      <c r="AA65" s="16" t="b">
        <v>0</v>
      </c>
      <c r="AB65" s="16">
        <v>12.4</v>
      </c>
      <c r="AC65" s="16" t="s">
        <v>297</v>
      </c>
      <c r="AD65" s="16" t="s">
        <v>340</v>
      </c>
      <c r="AE65" s="16">
        <v>73.06</v>
      </c>
      <c r="AF65" s="16">
        <v>5</v>
      </c>
      <c r="AG65" s="16">
        <v>28.04</v>
      </c>
      <c r="AH65" s="16" t="s">
        <v>282</v>
      </c>
      <c r="AI65" s="16" t="s">
        <v>282</v>
      </c>
      <c r="AJ65" s="16" t="s">
        <v>283</v>
      </c>
      <c r="AK65" s="16">
        <v>0.55000000000000004</v>
      </c>
      <c r="AL65" s="16">
        <v>-1.351858817130303</v>
      </c>
      <c r="AM65" s="16">
        <v>14</v>
      </c>
      <c r="AN65" s="16">
        <v>0.35449735449735448</v>
      </c>
      <c r="AO65" s="16">
        <v>0.402420391930016</v>
      </c>
      <c r="AP65" s="16">
        <v>27.26</v>
      </c>
      <c r="AQ65" s="16">
        <v>30.1</v>
      </c>
      <c r="AR65" s="16">
        <v>2.84</v>
      </c>
      <c r="AS65" s="16">
        <v>7.44</v>
      </c>
      <c r="AT65" s="16">
        <v>7.71</v>
      </c>
      <c r="AU65" s="16">
        <v>0.27</v>
      </c>
    </row>
  </sheetData>
  <autoFilter ref="A1:AU65" xr:uid="{43F9D8BE-37CA-438F-9CBE-9C7161CD496B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Resumen</vt:lpstr>
      <vt:lpstr>Cervezas</vt:lpstr>
      <vt:lpstr>Limpieza</vt:lpstr>
      <vt:lpstr>GENRAL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Ingrid Karina Paz Franco</cp:lastModifiedBy>
  <cp:revision>0</cp:revision>
  <dcterms:created xsi:type="dcterms:W3CDTF">2026-07-09T23:06:34Z</dcterms:created>
  <dcterms:modified xsi:type="dcterms:W3CDTF">2026-07-09T23:18:58Z</dcterms:modified>
  <dc:language>en-US</dc:language>
</cp:coreProperties>
</file>